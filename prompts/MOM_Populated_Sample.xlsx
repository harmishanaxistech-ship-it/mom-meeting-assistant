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3" name="Meetings (MOM)" state="visible" r:id="rId4"/>
    <sheet sheetId="4" name="Tasks" state="visible" r:id="rId5"/>
    <sheet sheetId="6" name="MOM Print" state="visible" r:id="rId6"/>
  </sheets>
  <definedNames>
    <definedName name="_xlnm._FilterDatabase">Tasks!$A$1:$R$501</definedName>
    <definedName name="_xlnm.Print_Area" localSheetId="2">'MOM Print'!$B1:$I46</definedName>
  </definedNames>
  <calcPr calcId="171027"/>
</workbook>
</file>

<file path=xl/sharedStrings.xml><?xml version="1.0" encoding="utf-8"?>
<sst xmlns="http://schemas.openxmlformats.org/spreadsheetml/2006/main" count="110" uniqueCount="82">
  <si>
    <t>MOM ID</t>
  </si>
  <si>
    <t>Meeting Date</t>
  </si>
  <si>
    <t>Branch / Location</t>
  </si>
  <si>
    <t>Meeting Title / Subject</t>
  </si>
  <si>
    <t>Meeting Type</t>
  </si>
  <si>
    <t>Venue / Mode</t>
  </si>
  <si>
    <t>Start Time</t>
  </si>
  <si>
    <t>End Time</t>
  </si>
  <si>
    <t>Meeting Lead By</t>
  </si>
  <si>
    <t>MOM Prepared By</t>
  </si>
  <si>
    <t>Attendees Present</t>
  </si>
  <si>
    <t>Absent / Regrets</t>
  </si>
  <si>
    <t>Agenda Points</t>
  </si>
  <si>
    <t>Discussion Summary</t>
  </si>
  <si>
    <t>Key Decisions Taken</t>
  </si>
  <si>
    <t>Next Meeting Date</t>
  </si>
  <si>
    <t>Total Tasks</t>
  </si>
  <si>
    <t>Completed</t>
  </si>
  <si>
    <t>Pending</t>
  </si>
  <si>
    <t>Overdue</t>
  </si>
  <si>
    <t>Completion %</t>
  </si>
  <si>
    <t>MOM-678</t>
  </si>
  <si>
    <t>Conference Room 1 / Google Meet</t>
  </si>
  <si>
    <t>Product Architecture &amp; Sprint 4 Review</t>
  </si>
  <si>
    <t>Project Review</t>
  </si>
  <si>
    <t>04:00 PM</t>
  </si>
  <si>
    <t>05:00 PM</t>
  </si>
  <si>
    <t>Harmish (Lead)</t>
  </si>
  <si>
    <t>MOM Assistant</t>
  </si>
  <si>
    <t>Harmish (Lead), Priya Patel (Frontend), Amit Shah (Backend), Rahul Mehta (QA)</t>
  </si>
  <si>
    <t/>
  </si>
  <si>
    <t>1. Sprint 4 deliverables review  2. Corporate Excel template integration for MOM export  3. Action item assignment and deadlines  4. Next release schedule</t>
  </si>
  <si>
    <t>The team conducted a comprehensive sprint review focusing on backend services, document generation features, and multi-language translations. The Excel (.xlsx) export functionality based on the standard corporate template was finalized and integrated.</t>
  </si>
  <si>
    <t>Approved adoption of the corporate Excel format as the standard spreadsheet export format.; Agreed on weekly automated task reminder workflow.</t>
  </si>
  <si>
    <t>Task ID</t>
  </si>
  <si>
    <t>Branch</t>
  </si>
  <si>
    <t>Task / Action Point</t>
  </si>
  <si>
    <t>Responsible Person</t>
  </si>
  <si>
    <t>Following Person</t>
  </si>
  <si>
    <t>Priority</t>
  </si>
  <si>
    <t>Assigned Date</t>
  </si>
  <si>
    <t>Target Deadline</t>
  </si>
  <si>
    <t>Revised Deadline</t>
  </si>
  <si>
    <t>Status</t>
  </si>
  <si>
    <t>% Complete</t>
  </si>
  <si>
    <t>Completion Date</t>
  </si>
  <si>
    <t>Days Overdue (+) / Left (-)</t>
  </si>
  <si>
    <t>Delay Reason</t>
  </si>
  <si>
    <t>Reminder Action</t>
  </si>
  <si>
    <t>Remarks</t>
  </si>
  <si>
    <t>Key (system)</t>
  </si>
  <si>
    <t>Overdue Flag (system)</t>
  </si>
  <si>
    <t>T-001</t>
  </si>
  <si>
    <t>Implement XLSX export endpoint and service integration</t>
  </si>
  <si>
    <t>Amit Shah</t>
  </si>
  <si>
    <t>High</t>
  </si>
  <si>
    <t>Not Started</t>
  </si>
  <si>
    <t>Circulated on mail</t>
  </si>
  <si>
    <t>T-002</t>
  </si>
  <si>
    <t>Add Excel (.xlsx) export button in Flutter mobile interface</t>
  </si>
  <si>
    <t>Priya Patel</t>
  </si>
  <si>
    <t>Awaiting data from other dept.</t>
  </si>
  <si>
    <t>Draft ready, figures pending</t>
  </si>
  <si>
    <t>T-003</t>
  </si>
  <si>
    <t>Execute end-to-end testing of generated spreadsheet with formulas</t>
  </si>
  <si>
    <t>Rahul Mehta</t>
  </si>
  <si>
    <t>Medium</t>
  </si>
  <si>
    <t>MINUTES OF MEETING</t>
  </si>
  <si>
    <t>Enter MOM ID:</t>
  </si>
  <si>
    <t>&lt;-- type / pick the MOM ID here, everything below fills in automatically</t>
  </si>
  <si>
    <t>Meeting Title</t>
  </si>
  <si>
    <t>ATTENDEES PRESENT</t>
  </si>
  <si>
    <t>ABSENT / REGRETS</t>
  </si>
  <si>
    <t>AGENDA POINTS</t>
  </si>
  <si>
    <t>DISCUSSION SUMMARY</t>
  </si>
  <si>
    <t>KEY DECISIONS TAKEN</t>
  </si>
  <si>
    <t>ACTION POINTS / TASK LIST</t>
  </si>
  <si>
    <t>Deadline</t>
  </si>
  <si>
    <t>Completion</t>
  </si>
  <si>
    <t>Prepared by:</t>
  </si>
  <si>
    <t>Approved by:</t>
  </si>
  <si>
    <t>Note: only the first 15 action points of a meeting are shown here. See the Tasks sheet for the complete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</si>
</sst>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;-0;0"/>
  </numFmts>
  <fonts count="7" x14ac:knownFonts="1">
    <font>
      <color theme="1"/>
      <family val="2"/>
      <scheme val="minor"/>
      <sz val="11"/>
      <name val="Calibri"/>
    </font>
    <font>
      <b/>
      <charset val="1"/>
      <color rgb="FFFFFFFF"/>
      <sz val="10"/>
      <name val="Arial"/>
    </font>
    <font>
      <charset val="1"/>
      <sz val="10"/>
      <name val="Arial"/>
    </font>
    <font>
      <b/>
      <charset val="1"/>
      <color rgb="FFFFFFFF"/>
      <sz val="14"/>
      <name val="Arial"/>
    </font>
    <font>
      <b/>
      <charset val="1"/>
      <sz val="10"/>
      <name val="Arial"/>
    </font>
    <font>
      <b/>
      <charset val="1"/>
      <sz val="11"/>
      <name val="Arial"/>
    </font>
    <font>
      <i/>
      <charset val="1"/>
      <color rgb="FF555555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2E5C8A"/>
        <bgColor rgb="FF555555"/>
      </patternFill>
    </fill>
    <fill>
      <patternFill patternType="solid">
        <fgColor rgb="FFD9D9D9"/>
        <bgColor rgb="FFDCE6F1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DECEA"/>
      </patternFill>
    </fill>
    <fill>
      <patternFill patternType="solid">
        <fgColor rgb="FFDCE6F1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6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ont>
        <b/>
        <color rgb="FF9C0006"/>
        <sz val="10"/>
        <name val="Arial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Views>
    <sheetView workbookViewId="0" showGridLines="0" zoomScale="100" zoomScaleNormal="100">
      <pane xSplit="1" ySplit="1" topLeftCell="B2" activePane="bottomRight" state="frozen"/>
      <selection pane="bottomRight" activeCell="C2" sqref="C2"/>
    </sheetView>
  </sheetViews>
  <sheetFormatPr defaultRowHeight="15" outlineLevelRow="0" outlineLevelCol="0" x14ac:dyDescent="0" defaultColWidth="8.7109375"/>
  <cols>
    <col min="1" max="1" width="11" customWidth="1"/>
    <col min="2" max="2" width="13" customWidth="1"/>
    <col min="3" max="3" width="19" customWidth="1"/>
    <col min="4" max="4" width="30" customWidth="1"/>
    <col min="5" max="5" width="17" customWidth="1"/>
    <col min="6" max="6" width="16" customWidth="1"/>
    <col min="7" max="8" width="10" customWidth="1"/>
    <col min="9" max="10" width="18" customWidth="1"/>
    <col min="11" max="11" width="34" customWidth="1"/>
    <col min="12" max="12" width="22" customWidth="1"/>
    <col min="13" max="13" width="38" customWidth="1"/>
    <col min="14" max="14" width="46" customWidth="1"/>
    <col min="15" max="15" width="34" customWidth="1"/>
    <col min="16" max="16" width="14" customWidth="1"/>
    <col min="17" max="17" width="10" customWidth="1"/>
    <col min="18" max="18" width="11" customWidth="1"/>
    <col min="19" max="20" width="10" customWidth="1"/>
    <col min="21" max="21" width="12" customWidth="1"/>
  </cols>
  <sheetData>
    <row r="1" ht="33.75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30" customHeight="1" spans="1:21" x14ac:dyDescent="0.25">
      <c r="A2" s="2" t="s">
        <v>21</v>
      </c>
      <c r="B2" s="3">
        <v>46274.4375</v>
      </c>
      <c r="C2" s="4" t="s">
        <v>22</v>
      </c>
      <c r="D2" s="4" t="s">
        <v>23</v>
      </c>
      <c r="E2" s="2" t="s">
        <v>24</v>
      </c>
      <c r="F2" s="4" t="s">
        <v>22</v>
      </c>
      <c r="G2" s="2" t="s">
        <v>25</v>
      </c>
      <c r="H2" s="2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3">
        <v>46281</v>
      </c>
      <c r="Q2" s="5">
        <f>IF($A2="","",COUNTIFS(Tasks!$B$2:$B$501,$A2))</f>
        <v>3</v>
      </c>
      <c r="R2" s="5">
        <f>IF($A2="","",COUNTIFS(Tasks!$B$2:$B$501,$A2,Tasks!$L$2:$L$501,"Completed"))</f>
        <v>1</v>
      </c>
      <c r="S2" s="5">
        <f t="shared" ref="S2:S33" si="0">IF($A2="","",$Q2-$R2)</f>
        <v>2</v>
      </c>
      <c r="T2" s="5">
        <f>IF($A2="","",SUMIFS(Tasks!$T$2:$T$501,Tasks!$B$2:$B$501,$A2))</f>
        <v>0</v>
      </c>
      <c r="U2" s="6">
        <f t="shared" ref="U2:U33" si="1">IF($A2="","",IF($Q2=0,"",$R2/$Q2))</f>
        <v>0.3333333333333333</v>
      </c>
    </row>
    <row r="3" ht="30" customHeight="1" spans="1:21" x14ac:dyDescent="0.25">
      <c r="A3" s="2"/>
      <c r="B3" s="3"/>
      <c r="C3" s="4"/>
      <c r="D3" s="4"/>
      <c r="E3" s="2"/>
      <c r="F3" s="4"/>
      <c r="G3" s="2"/>
      <c r="H3" s="2"/>
      <c r="I3" s="4"/>
      <c r="J3" s="4"/>
      <c r="K3" s="4"/>
      <c r="L3" s="4"/>
      <c r="M3" s="4"/>
      <c r="N3" s="4"/>
      <c r="O3" s="4"/>
      <c r="P3" s="3"/>
      <c r="Q3" s="5">
        <f>IF($A3="","",COUNTIFS(Tasks!$B$2:$B$501,$A3))</f>
      </c>
      <c r="R3" s="5">
        <f>IF($A3="","",COUNTIFS(Tasks!$B$2:$B$501,$A3,Tasks!$L$2:$L$501,"Completed"))</f>
      </c>
      <c r="S3" s="5">
        <f t="shared" si="0"/>
      </c>
      <c r="T3" s="5">
        <f>IF($A3="","",SUMIFS(Tasks!$T$2:$T$501,Tasks!$B$2:$B$501,$A3))</f>
      </c>
      <c r="U3" s="6">
        <f t="shared" si="1"/>
      </c>
    </row>
    <row r="4" ht="30" customHeight="1" spans="1:21" x14ac:dyDescent="0.25">
      <c r="A4" s="2"/>
      <c r="B4" s="3"/>
      <c r="C4" s="4"/>
      <c r="D4" s="4"/>
      <c r="E4" s="2"/>
      <c r="F4" s="4"/>
      <c r="G4" s="2"/>
      <c r="H4" s="2"/>
      <c r="I4" s="4"/>
      <c r="J4" s="4"/>
      <c r="K4" s="4"/>
      <c r="L4" s="4"/>
      <c r="M4" s="4"/>
      <c r="N4" s="4"/>
      <c r="O4" s="4"/>
      <c r="P4" s="3"/>
      <c r="Q4" s="5">
        <f>IF($A4="","",COUNTIFS(Tasks!$B$2:$B$501,$A4))</f>
      </c>
      <c r="R4" s="5">
        <f>IF($A4="","",COUNTIFS(Tasks!$B$2:$B$501,$A4,Tasks!$L$2:$L$501,"Completed"))</f>
      </c>
      <c r="S4" s="5">
        <f t="shared" si="0"/>
      </c>
      <c r="T4" s="5">
        <f>IF($A4="","",SUMIFS(Tasks!$T$2:$T$501,Tasks!$B$2:$B$501,$A4))</f>
      </c>
      <c r="U4" s="6">
        <f t="shared" si="1"/>
      </c>
    </row>
    <row r="5" ht="30" customHeight="1" spans="1:21" x14ac:dyDescent="0.25">
      <c r="A5" s="2"/>
      <c r="B5" s="3"/>
      <c r="C5" s="4"/>
      <c r="D5" s="4"/>
      <c r="E5" s="2"/>
      <c r="F5" s="4"/>
      <c r="G5" s="2"/>
      <c r="H5" s="2"/>
      <c r="I5" s="4"/>
      <c r="J5" s="4"/>
      <c r="K5" s="4"/>
      <c r="L5" s="4"/>
      <c r="M5" s="4"/>
      <c r="N5" s="4"/>
      <c r="O5" s="4"/>
      <c r="P5" s="3"/>
      <c r="Q5" s="5">
        <f>IF($A5="","",COUNTIFS(Tasks!$B$2:$B$501,$A5))</f>
      </c>
      <c r="R5" s="5">
        <f>IF($A5="","",COUNTIFS(Tasks!$B$2:$B$501,$A5,Tasks!$L$2:$L$501,"Completed"))</f>
      </c>
      <c r="S5" s="5">
        <f t="shared" si="0"/>
      </c>
      <c r="T5" s="5">
        <f>IF($A5="","",SUMIFS(Tasks!$T$2:$T$501,Tasks!$B$2:$B$501,$A5))</f>
      </c>
      <c r="U5" s="6">
        <f t="shared" si="1"/>
      </c>
    </row>
    <row r="6" ht="30" customHeight="1" spans="1:21" x14ac:dyDescent="0.25">
      <c r="A6" s="2"/>
      <c r="B6" s="3"/>
      <c r="C6" s="4"/>
      <c r="D6" s="4"/>
      <c r="E6" s="2"/>
      <c r="F6" s="4"/>
      <c r="G6" s="2"/>
      <c r="H6" s="2"/>
      <c r="I6" s="4"/>
      <c r="J6" s="4"/>
      <c r="K6" s="4"/>
      <c r="L6" s="4"/>
      <c r="M6" s="4"/>
      <c r="N6" s="4"/>
      <c r="O6" s="4"/>
      <c r="P6" s="3"/>
      <c r="Q6" s="5">
        <f>IF($A6="","",COUNTIFS(Tasks!$B$2:$B$501,$A6))</f>
      </c>
      <c r="R6" s="5">
        <f>IF($A6="","",COUNTIFS(Tasks!$B$2:$B$501,$A6,Tasks!$L$2:$L$501,"Completed"))</f>
      </c>
      <c r="S6" s="5">
        <f t="shared" si="0"/>
      </c>
      <c r="T6" s="5">
        <f>IF($A6="","",SUMIFS(Tasks!$T$2:$T$501,Tasks!$B$2:$B$501,$A6))</f>
      </c>
      <c r="U6" s="6">
        <f t="shared" si="1"/>
      </c>
    </row>
    <row r="7" ht="30" customHeight="1" spans="1:21" x14ac:dyDescent="0.25">
      <c r="A7" s="2"/>
      <c r="B7" s="3"/>
      <c r="C7" s="4"/>
      <c r="D7" s="4"/>
      <c r="E7" s="2"/>
      <c r="F7" s="4"/>
      <c r="G7" s="2"/>
      <c r="H7" s="2"/>
      <c r="I7" s="4"/>
      <c r="J7" s="4"/>
      <c r="K7" s="4"/>
      <c r="L7" s="4"/>
      <c r="M7" s="4"/>
      <c r="N7" s="4"/>
      <c r="O7" s="4"/>
      <c r="P7" s="3"/>
      <c r="Q7" s="5">
        <f>IF($A7="","",COUNTIFS(Tasks!$B$2:$B$501,$A7))</f>
      </c>
      <c r="R7" s="5">
        <f>IF($A7="","",COUNTIFS(Tasks!$B$2:$B$501,$A7,Tasks!$L$2:$L$501,"Completed"))</f>
      </c>
      <c r="S7" s="5">
        <f t="shared" si="0"/>
      </c>
      <c r="T7" s="5">
        <f>IF($A7="","",SUMIFS(Tasks!$T$2:$T$501,Tasks!$B$2:$B$501,$A7))</f>
      </c>
      <c r="U7" s="6">
        <f t="shared" si="1"/>
      </c>
    </row>
    <row r="8" ht="30" customHeight="1" spans="1:21" x14ac:dyDescent="0.25">
      <c r="A8" s="2"/>
      <c r="B8" s="3"/>
      <c r="C8" s="4"/>
      <c r="D8" s="4"/>
      <c r="E8" s="2"/>
      <c r="F8" s="4"/>
      <c r="G8" s="2"/>
      <c r="H8" s="2"/>
      <c r="I8" s="4"/>
      <c r="J8" s="4"/>
      <c r="K8" s="4"/>
      <c r="L8" s="4"/>
      <c r="M8" s="4"/>
      <c r="N8" s="4"/>
      <c r="O8" s="4"/>
      <c r="P8" s="3"/>
      <c r="Q8" s="5">
        <f>IF($A8="","",COUNTIFS(Tasks!$B$2:$B$501,$A8))</f>
      </c>
      <c r="R8" s="5">
        <f>IF($A8="","",COUNTIFS(Tasks!$B$2:$B$501,$A8,Tasks!$L$2:$L$501,"Completed"))</f>
      </c>
      <c r="S8" s="5">
        <f t="shared" si="0"/>
      </c>
      <c r="T8" s="5">
        <f>IF($A8="","",SUMIFS(Tasks!$T$2:$T$501,Tasks!$B$2:$B$501,$A8))</f>
      </c>
      <c r="U8" s="6">
        <f t="shared" si="1"/>
      </c>
    </row>
    <row r="9" ht="30" customHeight="1" spans="1:21" x14ac:dyDescent="0.25">
      <c r="A9" s="2"/>
      <c r="B9" s="3"/>
      <c r="C9" s="4"/>
      <c r="D9" s="4"/>
      <c r="E9" s="2"/>
      <c r="F9" s="4"/>
      <c r="G9" s="2"/>
      <c r="H9" s="2"/>
      <c r="I9" s="4"/>
      <c r="J9" s="4"/>
      <c r="K9" s="4"/>
      <c r="L9" s="4"/>
      <c r="M9" s="4"/>
      <c r="N9" s="4"/>
      <c r="O9" s="4"/>
      <c r="P9" s="3"/>
      <c r="Q9" s="5">
        <f>IF($A9="","",COUNTIFS(Tasks!$B$2:$B$501,$A9))</f>
      </c>
      <c r="R9" s="5">
        <f>IF($A9="","",COUNTIFS(Tasks!$B$2:$B$501,$A9,Tasks!$L$2:$L$501,"Completed"))</f>
      </c>
      <c r="S9" s="5">
        <f t="shared" si="0"/>
      </c>
      <c r="T9" s="5">
        <f>IF($A9="","",SUMIFS(Tasks!$T$2:$T$501,Tasks!$B$2:$B$501,$A9))</f>
      </c>
      <c r="U9" s="6">
        <f t="shared" si="1"/>
      </c>
    </row>
    <row r="10" ht="30" customHeight="1" spans="1:21" x14ac:dyDescent="0.25">
      <c r="A10" s="2"/>
      <c r="B10" s="3"/>
      <c r="C10" s="4"/>
      <c r="D10" s="4"/>
      <c r="E10" s="2"/>
      <c r="F10" s="4"/>
      <c r="G10" s="2"/>
      <c r="H10" s="2"/>
      <c r="I10" s="4"/>
      <c r="J10" s="4"/>
      <c r="K10" s="4"/>
      <c r="L10" s="4"/>
      <c r="M10" s="4"/>
      <c r="N10" s="4"/>
      <c r="O10" s="4"/>
      <c r="P10" s="3"/>
      <c r="Q10" s="5">
        <f>IF($A10="","",COUNTIFS(Tasks!$B$2:$B$501,$A10))</f>
      </c>
      <c r="R10" s="5">
        <f>IF($A10="","",COUNTIFS(Tasks!$B$2:$B$501,$A10,Tasks!$L$2:$L$501,"Completed"))</f>
      </c>
      <c r="S10" s="5">
        <f t="shared" si="0"/>
      </c>
      <c r="T10" s="5">
        <f>IF($A10="","",SUMIFS(Tasks!$T$2:$T$501,Tasks!$B$2:$B$501,$A10))</f>
      </c>
      <c r="U10" s="6">
        <f t="shared" si="1"/>
      </c>
    </row>
    <row r="11" ht="30" customHeight="1" spans="1:21" x14ac:dyDescent="0.25">
      <c r="A11" s="2"/>
      <c r="B11" s="3"/>
      <c r="C11" s="4"/>
      <c r="D11" s="4"/>
      <c r="E11" s="2"/>
      <c r="F11" s="4"/>
      <c r="G11" s="2"/>
      <c r="H11" s="2"/>
      <c r="I11" s="4"/>
      <c r="J11" s="4"/>
      <c r="K11" s="4"/>
      <c r="L11" s="4"/>
      <c r="M11" s="4"/>
      <c r="N11" s="4"/>
      <c r="O11" s="4"/>
      <c r="P11" s="3"/>
      <c r="Q11" s="5">
        <f>IF($A11="","",COUNTIFS(Tasks!$B$2:$B$501,$A11))</f>
      </c>
      <c r="R11" s="5">
        <f>IF($A11="","",COUNTIFS(Tasks!$B$2:$B$501,$A11,Tasks!$L$2:$L$501,"Completed"))</f>
      </c>
      <c r="S11" s="5">
        <f t="shared" si="0"/>
      </c>
      <c r="T11" s="5">
        <f>IF($A11="","",SUMIFS(Tasks!$T$2:$T$501,Tasks!$B$2:$B$501,$A11))</f>
      </c>
      <c r="U11" s="6">
        <f t="shared" si="1"/>
      </c>
    </row>
    <row r="12" ht="30" customHeight="1" spans="1:21" x14ac:dyDescent="0.25">
      <c r="A12" s="2"/>
      <c r="B12" s="3"/>
      <c r="C12" s="4"/>
      <c r="D12" s="4"/>
      <c r="E12" s="2"/>
      <c r="F12" s="4"/>
      <c r="G12" s="2"/>
      <c r="H12" s="2"/>
      <c r="I12" s="4"/>
      <c r="J12" s="4"/>
      <c r="K12" s="4"/>
      <c r="L12" s="4"/>
      <c r="M12" s="4"/>
      <c r="N12" s="4"/>
      <c r="O12" s="4"/>
      <c r="P12" s="3"/>
      <c r="Q12" s="5">
        <f>IF($A12="","",COUNTIFS(Tasks!$B$2:$B$501,$A12))</f>
      </c>
      <c r="R12" s="5">
        <f>IF($A12="","",COUNTIFS(Tasks!$B$2:$B$501,$A12,Tasks!$L$2:$L$501,"Completed"))</f>
      </c>
      <c r="S12" s="5">
        <f t="shared" si="0"/>
      </c>
      <c r="T12" s="5">
        <f>IF($A12="","",SUMIFS(Tasks!$T$2:$T$501,Tasks!$B$2:$B$501,$A12))</f>
      </c>
      <c r="U12" s="6">
        <f t="shared" si="1"/>
      </c>
    </row>
    <row r="13" ht="30" customHeight="1" spans="1:21" x14ac:dyDescent="0.25">
      <c r="A13" s="2"/>
      <c r="B13" s="3"/>
      <c r="C13" s="4"/>
      <c r="D13" s="4"/>
      <c r="E13" s="2"/>
      <c r="F13" s="4"/>
      <c r="G13" s="2"/>
      <c r="H13" s="2"/>
      <c r="I13" s="4"/>
      <c r="J13" s="4"/>
      <c r="K13" s="4"/>
      <c r="L13" s="4"/>
      <c r="M13" s="4"/>
      <c r="N13" s="4"/>
      <c r="O13" s="4"/>
      <c r="P13" s="3"/>
      <c r="Q13" s="5">
        <f>IF($A13="","",COUNTIFS(Tasks!$B$2:$B$501,$A13))</f>
      </c>
      <c r="R13" s="5">
        <f>IF($A13="","",COUNTIFS(Tasks!$B$2:$B$501,$A13,Tasks!$L$2:$L$501,"Completed"))</f>
      </c>
      <c r="S13" s="5">
        <f t="shared" si="0"/>
      </c>
      <c r="T13" s="5">
        <f>IF($A13="","",SUMIFS(Tasks!$T$2:$T$501,Tasks!$B$2:$B$501,$A13))</f>
      </c>
      <c r="U13" s="6">
        <f t="shared" si="1"/>
      </c>
    </row>
    <row r="14" ht="30" customHeight="1" spans="1:21" x14ac:dyDescent="0.25">
      <c r="A14" s="2"/>
      <c r="B14" s="3"/>
      <c r="C14" s="4"/>
      <c r="D14" s="4"/>
      <c r="E14" s="2"/>
      <c r="F14" s="4"/>
      <c r="G14" s="2"/>
      <c r="H14" s="2"/>
      <c r="I14" s="4"/>
      <c r="J14" s="4"/>
      <c r="K14" s="4"/>
      <c r="L14" s="4"/>
      <c r="M14" s="4"/>
      <c r="N14" s="4"/>
      <c r="O14" s="4"/>
      <c r="P14" s="3"/>
      <c r="Q14" s="5">
        <f>IF($A14="","",COUNTIFS(Tasks!$B$2:$B$501,$A14))</f>
      </c>
      <c r="R14" s="5">
        <f>IF($A14="","",COUNTIFS(Tasks!$B$2:$B$501,$A14,Tasks!$L$2:$L$501,"Completed"))</f>
      </c>
      <c r="S14" s="5">
        <f t="shared" si="0"/>
      </c>
      <c r="T14" s="5">
        <f>IF($A14="","",SUMIFS(Tasks!$T$2:$T$501,Tasks!$B$2:$B$501,$A14))</f>
      </c>
      <c r="U14" s="6">
        <f t="shared" si="1"/>
      </c>
    </row>
    <row r="15" ht="30" customHeight="1" spans="1:21" x14ac:dyDescent="0.25">
      <c r="A15" s="2"/>
      <c r="B15" s="3"/>
      <c r="C15" s="4"/>
      <c r="D15" s="4"/>
      <c r="E15" s="2"/>
      <c r="F15" s="4"/>
      <c r="G15" s="2"/>
      <c r="H15" s="2"/>
      <c r="I15" s="4"/>
      <c r="J15" s="4"/>
      <c r="K15" s="4"/>
      <c r="L15" s="4"/>
      <c r="M15" s="4"/>
      <c r="N15" s="4"/>
      <c r="O15" s="4"/>
      <c r="P15" s="3"/>
      <c r="Q15" s="5">
        <f>IF($A15="","",COUNTIFS(Tasks!$B$2:$B$501,$A15))</f>
      </c>
      <c r="R15" s="5">
        <f>IF($A15="","",COUNTIFS(Tasks!$B$2:$B$501,$A15,Tasks!$L$2:$L$501,"Completed"))</f>
      </c>
      <c r="S15" s="5">
        <f t="shared" si="0"/>
      </c>
      <c r="T15" s="5">
        <f>IF($A15="","",SUMIFS(Tasks!$T$2:$T$501,Tasks!$B$2:$B$501,$A15))</f>
      </c>
      <c r="U15" s="6">
        <f t="shared" si="1"/>
      </c>
    </row>
    <row r="16" ht="30" customHeight="1" spans="1:21" x14ac:dyDescent="0.25">
      <c r="A16" s="2"/>
      <c r="B16" s="3"/>
      <c r="C16" s="4"/>
      <c r="D16" s="4"/>
      <c r="E16" s="2"/>
      <c r="F16" s="4"/>
      <c r="G16" s="2"/>
      <c r="H16" s="2"/>
      <c r="I16" s="4"/>
      <c r="J16" s="4"/>
      <c r="K16" s="4"/>
      <c r="L16" s="4"/>
      <c r="M16" s="4"/>
      <c r="N16" s="4"/>
      <c r="O16" s="4"/>
      <c r="P16" s="3"/>
      <c r="Q16" s="5">
        <f>IF($A16="","",COUNTIFS(Tasks!$B$2:$B$501,$A16))</f>
      </c>
      <c r="R16" s="5">
        <f>IF($A16="","",COUNTIFS(Tasks!$B$2:$B$501,$A16,Tasks!$L$2:$L$501,"Completed"))</f>
      </c>
      <c r="S16" s="5">
        <f t="shared" si="0"/>
      </c>
      <c r="T16" s="5">
        <f>IF($A16="","",SUMIFS(Tasks!$T$2:$T$501,Tasks!$B$2:$B$501,$A16))</f>
      </c>
      <c r="U16" s="6">
        <f t="shared" si="1"/>
      </c>
    </row>
    <row r="17" ht="30" customHeight="1" spans="1:21" x14ac:dyDescent="0.25">
      <c r="A17" s="2"/>
      <c r="B17" s="3"/>
      <c r="C17" s="4"/>
      <c r="D17" s="4"/>
      <c r="E17" s="2"/>
      <c r="F17" s="4"/>
      <c r="G17" s="2"/>
      <c r="H17" s="2"/>
      <c r="I17" s="4"/>
      <c r="J17" s="4"/>
      <c r="K17" s="4"/>
      <c r="L17" s="4"/>
      <c r="M17" s="4"/>
      <c r="N17" s="4"/>
      <c r="O17" s="4"/>
      <c r="P17" s="3"/>
      <c r="Q17" s="5">
        <f>IF($A17="","",COUNTIFS(Tasks!$B$2:$B$501,$A17))</f>
      </c>
      <c r="R17" s="5">
        <f>IF($A17="","",COUNTIFS(Tasks!$B$2:$B$501,$A17,Tasks!$L$2:$L$501,"Completed"))</f>
      </c>
      <c r="S17" s="5">
        <f t="shared" si="0"/>
      </c>
      <c r="T17" s="5">
        <f>IF($A17="","",SUMIFS(Tasks!$T$2:$T$501,Tasks!$B$2:$B$501,$A17))</f>
      </c>
      <c r="U17" s="6">
        <f t="shared" si="1"/>
      </c>
    </row>
    <row r="18" ht="30" customHeight="1" spans="1:21" x14ac:dyDescent="0.25">
      <c r="A18" s="2"/>
      <c r="B18" s="3"/>
      <c r="C18" s="4"/>
      <c r="D18" s="4"/>
      <c r="E18" s="2"/>
      <c r="F18" s="4"/>
      <c r="G18" s="2"/>
      <c r="H18" s="2"/>
      <c r="I18" s="4"/>
      <c r="J18" s="4"/>
      <c r="K18" s="4"/>
      <c r="L18" s="4"/>
      <c r="M18" s="4"/>
      <c r="N18" s="4"/>
      <c r="O18" s="4"/>
      <c r="P18" s="3"/>
      <c r="Q18" s="5">
        <f>IF($A18="","",COUNTIFS(Tasks!$B$2:$B$501,$A18))</f>
      </c>
      <c r="R18" s="5">
        <f>IF($A18="","",COUNTIFS(Tasks!$B$2:$B$501,$A18,Tasks!$L$2:$L$501,"Completed"))</f>
      </c>
      <c r="S18" s="5">
        <f t="shared" si="0"/>
      </c>
      <c r="T18" s="5">
        <f>IF($A18="","",SUMIFS(Tasks!$T$2:$T$501,Tasks!$B$2:$B$501,$A18))</f>
      </c>
      <c r="U18" s="6">
        <f t="shared" si="1"/>
      </c>
    </row>
    <row r="19" ht="30" customHeight="1" spans="1:21" x14ac:dyDescent="0.25">
      <c r="A19" s="2"/>
      <c r="B19" s="3"/>
      <c r="C19" s="4"/>
      <c r="D19" s="4"/>
      <c r="E19" s="2"/>
      <c r="F19" s="4"/>
      <c r="G19" s="2"/>
      <c r="H19" s="2"/>
      <c r="I19" s="4"/>
      <c r="J19" s="4"/>
      <c r="K19" s="4"/>
      <c r="L19" s="4"/>
      <c r="M19" s="4"/>
      <c r="N19" s="4"/>
      <c r="O19" s="4"/>
      <c r="P19" s="3"/>
      <c r="Q19" s="5">
        <f>IF($A19="","",COUNTIFS(Tasks!$B$2:$B$501,$A19))</f>
      </c>
      <c r="R19" s="5">
        <f>IF($A19="","",COUNTIFS(Tasks!$B$2:$B$501,$A19,Tasks!$L$2:$L$501,"Completed"))</f>
      </c>
      <c r="S19" s="5">
        <f t="shared" si="0"/>
      </c>
      <c r="T19" s="5">
        <f>IF($A19="","",SUMIFS(Tasks!$T$2:$T$501,Tasks!$B$2:$B$501,$A19))</f>
      </c>
      <c r="U19" s="6">
        <f t="shared" si="1"/>
      </c>
    </row>
    <row r="20" ht="30" customHeight="1" spans="1:21" x14ac:dyDescent="0.25">
      <c r="A20" s="2"/>
      <c r="B20" s="3"/>
      <c r="C20" s="4"/>
      <c r="D20" s="4"/>
      <c r="E20" s="2"/>
      <c r="F20" s="4"/>
      <c r="G20" s="2"/>
      <c r="H20" s="2"/>
      <c r="I20" s="4"/>
      <c r="J20" s="4"/>
      <c r="K20" s="4"/>
      <c r="L20" s="4"/>
      <c r="M20" s="4"/>
      <c r="N20" s="4"/>
      <c r="O20" s="4"/>
      <c r="P20" s="3"/>
      <c r="Q20" s="5">
        <f>IF($A20="","",COUNTIFS(Tasks!$B$2:$B$501,$A20))</f>
      </c>
      <c r="R20" s="5">
        <f>IF($A20="","",COUNTIFS(Tasks!$B$2:$B$501,$A20,Tasks!$L$2:$L$501,"Completed"))</f>
      </c>
      <c r="S20" s="5">
        <f t="shared" si="0"/>
      </c>
      <c r="T20" s="5">
        <f>IF($A20="","",SUMIFS(Tasks!$T$2:$T$501,Tasks!$B$2:$B$501,$A20))</f>
      </c>
      <c r="U20" s="6">
        <f t="shared" si="1"/>
      </c>
    </row>
    <row r="21" ht="30" customHeight="1" spans="1:21" x14ac:dyDescent="0.25">
      <c r="A21" s="2"/>
      <c r="B21" s="3"/>
      <c r="C21" s="4"/>
      <c r="D21" s="4"/>
      <c r="E21" s="2"/>
      <c r="F21" s="4"/>
      <c r="G21" s="2"/>
      <c r="H21" s="2"/>
      <c r="I21" s="4"/>
      <c r="J21" s="4"/>
      <c r="K21" s="4"/>
      <c r="L21" s="4"/>
      <c r="M21" s="4"/>
      <c r="N21" s="4"/>
      <c r="O21" s="4"/>
      <c r="P21" s="3"/>
      <c r="Q21" s="5">
        <f>IF($A21="","",COUNTIFS(Tasks!$B$2:$B$501,$A21))</f>
      </c>
      <c r="R21" s="5">
        <f>IF($A21="","",COUNTIFS(Tasks!$B$2:$B$501,$A21,Tasks!$L$2:$L$501,"Completed"))</f>
      </c>
      <c r="S21" s="5">
        <f t="shared" si="0"/>
      </c>
      <c r="T21" s="5">
        <f>IF($A21="","",SUMIFS(Tasks!$T$2:$T$501,Tasks!$B$2:$B$501,$A21))</f>
      </c>
      <c r="U21" s="6">
        <f t="shared" si="1"/>
      </c>
    </row>
    <row r="22" ht="30" customHeight="1" spans="1:21" x14ac:dyDescent="0.25">
      <c r="A22" s="2"/>
      <c r="B22" s="3"/>
      <c r="C22" s="4"/>
      <c r="D22" s="4"/>
      <c r="E22" s="2"/>
      <c r="F22" s="4"/>
      <c r="G22" s="2"/>
      <c r="H22" s="2"/>
      <c r="I22" s="4"/>
      <c r="J22" s="4"/>
      <c r="K22" s="4"/>
      <c r="L22" s="4"/>
      <c r="M22" s="4"/>
      <c r="N22" s="4"/>
      <c r="O22" s="4"/>
      <c r="P22" s="3"/>
      <c r="Q22" s="5">
        <f>IF($A22="","",COUNTIFS(Tasks!$B$2:$B$501,$A22))</f>
      </c>
      <c r="R22" s="5">
        <f>IF($A22="","",COUNTIFS(Tasks!$B$2:$B$501,$A22,Tasks!$L$2:$L$501,"Completed"))</f>
      </c>
      <c r="S22" s="5">
        <f t="shared" si="0"/>
      </c>
      <c r="T22" s="5">
        <f>IF($A22="","",SUMIFS(Tasks!$T$2:$T$501,Tasks!$B$2:$B$501,$A22))</f>
      </c>
      <c r="U22" s="6">
        <f t="shared" si="1"/>
      </c>
    </row>
    <row r="23" ht="30" customHeight="1" spans="1:21" x14ac:dyDescent="0.25">
      <c r="A23" s="2"/>
      <c r="B23" s="3"/>
      <c r="C23" s="4"/>
      <c r="D23" s="4"/>
      <c r="E23" s="2"/>
      <c r="F23" s="4"/>
      <c r="G23" s="2"/>
      <c r="H23" s="2"/>
      <c r="I23" s="4"/>
      <c r="J23" s="4"/>
      <c r="K23" s="4"/>
      <c r="L23" s="4"/>
      <c r="M23" s="4"/>
      <c r="N23" s="4"/>
      <c r="O23" s="4"/>
      <c r="P23" s="3"/>
      <c r="Q23" s="5">
        <f>IF($A23="","",COUNTIFS(Tasks!$B$2:$B$501,$A23))</f>
      </c>
      <c r="R23" s="5">
        <f>IF($A23="","",COUNTIFS(Tasks!$B$2:$B$501,$A23,Tasks!$L$2:$L$501,"Completed"))</f>
      </c>
      <c r="S23" s="5">
        <f t="shared" si="0"/>
      </c>
      <c r="T23" s="5">
        <f>IF($A23="","",SUMIFS(Tasks!$T$2:$T$501,Tasks!$B$2:$B$501,$A23))</f>
      </c>
      <c r="U23" s="6">
        <f t="shared" si="1"/>
      </c>
    </row>
    <row r="24" ht="30" customHeight="1" spans="1:21" x14ac:dyDescent="0.25">
      <c r="A24" s="2"/>
      <c r="B24" s="3"/>
      <c r="C24" s="4"/>
      <c r="D24" s="4"/>
      <c r="E24" s="2"/>
      <c r="F24" s="4"/>
      <c r="G24" s="2"/>
      <c r="H24" s="2"/>
      <c r="I24" s="4"/>
      <c r="J24" s="4"/>
      <c r="K24" s="4"/>
      <c r="L24" s="4"/>
      <c r="M24" s="4"/>
      <c r="N24" s="4"/>
      <c r="O24" s="4"/>
      <c r="P24" s="3"/>
      <c r="Q24" s="5">
        <f>IF($A24="","",COUNTIFS(Tasks!$B$2:$B$501,$A24))</f>
      </c>
      <c r="R24" s="5">
        <f>IF($A24="","",COUNTIFS(Tasks!$B$2:$B$501,$A24,Tasks!$L$2:$L$501,"Completed"))</f>
      </c>
      <c r="S24" s="5">
        <f t="shared" si="0"/>
      </c>
      <c r="T24" s="5">
        <f>IF($A24="","",SUMIFS(Tasks!$T$2:$T$501,Tasks!$B$2:$B$501,$A24))</f>
      </c>
      <c r="U24" s="6">
        <f t="shared" si="1"/>
      </c>
    </row>
    <row r="25" ht="30" customHeight="1" spans="1:21" x14ac:dyDescent="0.25">
      <c r="A25" s="2"/>
      <c r="B25" s="3"/>
      <c r="C25" s="4"/>
      <c r="D25" s="4"/>
      <c r="E25" s="2"/>
      <c r="F25" s="4"/>
      <c r="G25" s="2"/>
      <c r="H25" s="2"/>
      <c r="I25" s="4"/>
      <c r="J25" s="4"/>
      <c r="K25" s="4"/>
      <c r="L25" s="4"/>
      <c r="M25" s="4"/>
      <c r="N25" s="4"/>
      <c r="O25" s="4"/>
      <c r="P25" s="3"/>
      <c r="Q25" s="5">
        <f>IF($A25="","",COUNTIFS(Tasks!$B$2:$B$501,$A25))</f>
      </c>
      <c r="R25" s="5">
        <f>IF($A25="","",COUNTIFS(Tasks!$B$2:$B$501,$A25,Tasks!$L$2:$L$501,"Completed"))</f>
      </c>
      <c r="S25" s="5">
        <f t="shared" si="0"/>
      </c>
      <c r="T25" s="5">
        <f>IF($A25="","",SUMIFS(Tasks!$T$2:$T$501,Tasks!$B$2:$B$501,$A25))</f>
      </c>
      <c r="U25" s="6">
        <f t="shared" si="1"/>
      </c>
    </row>
    <row r="26" ht="30" customHeight="1" spans="1:21" x14ac:dyDescent="0.25">
      <c r="A26" s="2"/>
      <c r="B26" s="3"/>
      <c r="C26" s="4"/>
      <c r="D26" s="4"/>
      <c r="E26" s="2"/>
      <c r="F26" s="4"/>
      <c r="G26" s="2"/>
      <c r="H26" s="2"/>
      <c r="I26" s="4"/>
      <c r="J26" s="4"/>
      <c r="K26" s="4"/>
      <c r="L26" s="4"/>
      <c r="M26" s="4"/>
      <c r="N26" s="4"/>
      <c r="O26" s="4"/>
      <c r="P26" s="3"/>
      <c r="Q26" s="5">
        <f>IF($A26="","",COUNTIFS(Tasks!$B$2:$B$501,$A26))</f>
      </c>
      <c r="R26" s="5">
        <f>IF($A26="","",COUNTIFS(Tasks!$B$2:$B$501,$A26,Tasks!$L$2:$L$501,"Completed"))</f>
      </c>
      <c r="S26" s="5">
        <f t="shared" si="0"/>
      </c>
      <c r="T26" s="5">
        <f>IF($A26="","",SUMIFS(Tasks!$T$2:$T$501,Tasks!$B$2:$B$501,$A26))</f>
      </c>
      <c r="U26" s="6">
        <f t="shared" si="1"/>
      </c>
    </row>
    <row r="27" ht="30" customHeight="1" spans="1:21" x14ac:dyDescent="0.25">
      <c r="A27" s="2"/>
      <c r="B27" s="3"/>
      <c r="C27" s="4"/>
      <c r="D27" s="4"/>
      <c r="E27" s="2"/>
      <c r="F27" s="4"/>
      <c r="G27" s="2"/>
      <c r="H27" s="2"/>
      <c r="I27" s="4"/>
      <c r="J27" s="4"/>
      <c r="K27" s="4"/>
      <c r="L27" s="4"/>
      <c r="M27" s="4"/>
      <c r="N27" s="4"/>
      <c r="O27" s="4"/>
      <c r="P27" s="3"/>
      <c r="Q27" s="5">
        <f>IF($A27="","",COUNTIFS(Tasks!$B$2:$B$501,$A27))</f>
      </c>
      <c r="R27" s="5">
        <f>IF($A27="","",COUNTIFS(Tasks!$B$2:$B$501,$A27,Tasks!$L$2:$L$501,"Completed"))</f>
      </c>
      <c r="S27" s="5">
        <f t="shared" si="0"/>
      </c>
      <c r="T27" s="5">
        <f>IF($A27="","",SUMIFS(Tasks!$T$2:$T$501,Tasks!$B$2:$B$501,$A27))</f>
      </c>
      <c r="U27" s="6">
        <f t="shared" si="1"/>
      </c>
    </row>
    <row r="28" ht="30" customHeight="1" spans="1:21" x14ac:dyDescent="0.25">
      <c r="A28" s="2"/>
      <c r="B28" s="3"/>
      <c r="C28" s="4"/>
      <c r="D28" s="4"/>
      <c r="E28" s="2"/>
      <c r="F28" s="4"/>
      <c r="G28" s="2"/>
      <c r="H28" s="2"/>
      <c r="I28" s="4"/>
      <c r="J28" s="4"/>
      <c r="K28" s="4"/>
      <c r="L28" s="4"/>
      <c r="M28" s="4"/>
      <c r="N28" s="4"/>
      <c r="O28" s="4"/>
      <c r="P28" s="3"/>
      <c r="Q28" s="5">
        <f>IF($A28="","",COUNTIFS(Tasks!$B$2:$B$501,$A28))</f>
      </c>
      <c r="R28" s="5">
        <f>IF($A28="","",COUNTIFS(Tasks!$B$2:$B$501,$A28,Tasks!$L$2:$L$501,"Completed"))</f>
      </c>
      <c r="S28" s="5">
        <f t="shared" si="0"/>
      </c>
      <c r="T28" s="5">
        <f>IF($A28="","",SUMIFS(Tasks!$T$2:$T$501,Tasks!$B$2:$B$501,$A28))</f>
      </c>
      <c r="U28" s="6">
        <f t="shared" si="1"/>
      </c>
    </row>
    <row r="29" ht="30" customHeight="1" spans="1:21" x14ac:dyDescent="0.25">
      <c r="A29" s="2"/>
      <c r="B29" s="3"/>
      <c r="C29" s="4"/>
      <c r="D29" s="4"/>
      <c r="E29" s="2"/>
      <c r="F29" s="4"/>
      <c r="G29" s="2"/>
      <c r="H29" s="2"/>
      <c r="I29" s="4"/>
      <c r="J29" s="4"/>
      <c r="K29" s="4"/>
      <c r="L29" s="4"/>
      <c r="M29" s="4"/>
      <c r="N29" s="4"/>
      <c r="O29" s="4"/>
      <c r="P29" s="3"/>
      <c r="Q29" s="5">
        <f>IF($A29="","",COUNTIFS(Tasks!$B$2:$B$501,$A29))</f>
      </c>
      <c r="R29" s="5">
        <f>IF($A29="","",COUNTIFS(Tasks!$B$2:$B$501,$A29,Tasks!$L$2:$L$501,"Completed"))</f>
      </c>
      <c r="S29" s="5">
        <f t="shared" si="0"/>
      </c>
      <c r="T29" s="5">
        <f>IF($A29="","",SUMIFS(Tasks!$T$2:$T$501,Tasks!$B$2:$B$501,$A29))</f>
      </c>
      <c r="U29" s="6">
        <f t="shared" si="1"/>
      </c>
    </row>
    <row r="30" ht="30" customHeight="1" spans="1:21" x14ac:dyDescent="0.25">
      <c r="A30" s="2"/>
      <c r="B30" s="3"/>
      <c r="C30" s="4"/>
      <c r="D30" s="4"/>
      <c r="E30" s="2"/>
      <c r="F30" s="4"/>
      <c r="G30" s="2"/>
      <c r="H30" s="2"/>
      <c r="I30" s="4"/>
      <c r="J30" s="4"/>
      <c r="K30" s="4"/>
      <c r="L30" s="4"/>
      <c r="M30" s="4"/>
      <c r="N30" s="4"/>
      <c r="O30" s="4"/>
      <c r="P30" s="3"/>
      <c r="Q30" s="5">
        <f>IF($A30="","",COUNTIFS(Tasks!$B$2:$B$501,$A30))</f>
      </c>
      <c r="R30" s="5">
        <f>IF($A30="","",COUNTIFS(Tasks!$B$2:$B$501,$A30,Tasks!$L$2:$L$501,"Completed"))</f>
      </c>
      <c r="S30" s="5">
        <f t="shared" si="0"/>
      </c>
      <c r="T30" s="5">
        <f>IF($A30="","",SUMIFS(Tasks!$T$2:$T$501,Tasks!$B$2:$B$501,$A30))</f>
      </c>
      <c r="U30" s="6">
        <f t="shared" si="1"/>
      </c>
    </row>
    <row r="31" ht="30" customHeight="1" spans="1:21" x14ac:dyDescent="0.25">
      <c r="A31" s="2"/>
      <c r="B31" s="3"/>
      <c r="C31" s="4"/>
      <c r="D31" s="4"/>
      <c r="E31" s="2"/>
      <c r="F31" s="4"/>
      <c r="G31" s="2"/>
      <c r="H31" s="2"/>
      <c r="I31" s="4"/>
      <c r="J31" s="4"/>
      <c r="K31" s="4"/>
      <c r="L31" s="4"/>
      <c r="M31" s="4"/>
      <c r="N31" s="4"/>
      <c r="O31" s="4"/>
      <c r="P31" s="3"/>
      <c r="Q31" s="5">
        <f>IF($A31="","",COUNTIFS(Tasks!$B$2:$B$501,$A31))</f>
      </c>
      <c r="R31" s="5">
        <f>IF($A31="","",COUNTIFS(Tasks!$B$2:$B$501,$A31,Tasks!$L$2:$L$501,"Completed"))</f>
      </c>
      <c r="S31" s="5">
        <f t="shared" si="0"/>
      </c>
      <c r="T31" s="5">
        <f>IF($A31="","",SUMIFS(Tasks!$T$2:$T$501,Tasks!$B$2:$B$501,$A31))</f>
      </c>
      <c r="U31" s="6">
        <f t="shared" si="1"/>
      </c>
    </row>
    <row r="32" ht="30" customHeight="1" spans="1:21" x14ac:dyDescent="0.25">
      <c r="A32" s="2"/>
      <c r="B32" s="3"/>
      <c r="C32" s="4"/>
      <c r="D32" s="4"/>
      <c r="E32" s="2"/>
      <c r="F32" s="4"/>
      <c r="G32" s="2"/>
      <c r="H32" s="2"/>
      <c r="I32" s="4"/>
      <c r="J32" s="4"/>
      <c r="K32" s="4"/>
      <c r="L32" s="4"/>
      <c r="M32" s="4"/>
      <c r="N32" s="4"/>
      <c r="O32" s="4"/>
      <c r="P32" s="3"/>
      <c r="Q32" s="5">
        <f>IF($A32="","",COUNTIFS(Tasks!$B$2:$B$501,$A32))</f>
      </c>
      <c r="R32" s="5">
        <f>IF($A32="","",COUNTIFS(Tasks!$B$2:$B$501,$A32,Tasks!$L$2:$L$501,"Completed"))</f>
      </c>
      <c r="S32" s="5">
        <f t="shared" si="0"/>
      </c>
      <c r="T32" s="5">
        <f>IF($A32="","",SUMIFS(Tasks!$T$2:$T$501,Tasks!$B$2:$B$501,$A32))</f>
      </c>
      <c r="U32" s="6">
        <f t="shared" si="1"/>
      </c>
    </row>
    <row r="33" ht="30" customHeight="1" spans="1:21" x14ac:dyDescent="0.25">
      <c r="A33" s="2"/>
      <c r="B33" s="3"/>
      <c r="C33" s="4"/>
      <c r="D33" s="4"/>
      <c r="E33" s="2"/>
      <c r="F33" s="4"/>
      <c r="G33" s="2"/>
      <c r="H33" s="2"/>
      <c r="I33" s="4"/>
      <c r="J33" s="4"/>
      <c r="K33" s="4"/>
      <c r="L33" s="4"/>
      <c r="M33" s="4"/>
      <c r="N33" s="4"/>
      <c r="O33" s="4"/>
      <c r="P33" s="3"/>
      <c r="Q33" s="5">
        <f>IF($A33="","",COUNTIFS(Tasks!$B$2:$B$501,$A33))</f>
      </c>
      <c r="R33" s="5">
        <f>IF($A33="","",COUNTIFS(Tasks!$B$2:$B$501,$A33,Tasks!$L$2:$L$501,"Completed"))</f>
      </c>
      <c r="S33" s="5">
        <f t="shared" si="0"/>
      </c>
      <c r="T33" s="5">
        <f>IF($A33="","",SUMIFS(Tasks!$T$2:$T$501,Tasks!$B$2:$B$501,$A33))</f>
      </c>
      <c r="U33" s="6">
        <f t="shared" si="1"/>
      </c>
    </row>
    <row r="34" ht="30" customHeight="1" spans="1:21" x14ac:dyDescent="0.25">
      <c r="A34" s="2"/>
      <c r="B34" s="3"/>
      <c r="C34" s="4"/>
      <c r="D34" s="4"/>
      <c r="E34" s="2"/>
      <c r="F34" s="4"/>
      <c r="G34" s="2"/>
      <c r="H34" s="2"/>
      <c r="I34" s="4"/>
      <c r="J34" s="4"/>
      <c r="K34" s="4"/>
      <c r="L34" s="4"/>
      <c r="M34" s="4"/>
      <c r="N34" s="4"/>
      <c r="O34" s="4"/>
      <c r="P34" s="3"/>
      <c r="Q34" s="5">
        <f>IF($A34="","",COUNTIFS(Tasks!$B$2:$B$501,$A34))</f>
      </c>
      <c r="R34" s="5">
        <f>IF($A34="","",COUNTIFS(Tasks!$B$2:$B$501,$A34,Tasks!$L$2:$L$501,"Completed"))</f>
      </c>
      <c r="S34" s="5">
        <f t="shared" ref="S34:S65" si="2">IF($A34="","",$Q34-$R34)</f>
      </c>
      <c r="T34" s="5">
        <f>IF($A34="","",SUMIFS(Tasks!$T$2:$T$501,Tasks!$B$2:$B$501,$A34))</f>
      </c>
      <c r="U34" s="6">
        <f t="shared" ref="U34:U65" si="3">IF($A34="","",IF($Q34=0,"",$R34/$Q34))</f>
      </c>
    </row>
    <row r="35" ht="30" customHeight="1" spans="1:21" x14ac:dyDescent="0.25">
      <c r="A35" s="2"/>
      <c r="B35" s="3"/>
      <c r="C35" s="4"/>
      <c r="D35" s="4"/>
      <c r="E35" s="2"/>
      <c r="F35" s="4"/>
      <c r="G35" s="2"/>
      <c r="H35" s="2"/>
      <c r="I35" s="4"/>
      <c r="J35" s="4"/>
      <c r="K35" s="4"/>
      <c r="L35" s="4"/>
      <c r="M35" s="4"/>
      <c r="N35" s="4"/>
      <c r="O35" s="4"/>
      <c r="P35" s="3"/>
      <c r="Q35" s="5">
        <f>IF($A35="","",COUNTIFS(Tasks!$B$2:$B$501,$A35))</f>
      </c>
      <c r="R35" s="5">
        <f>IF($A35="","",COUNTIFS(Tasks!$B$2:$B$501,$A35,Tasks!$L$2:$L$501,"Completed"))</f>
      </c>
      <c r="S35" s="5">
        <f t="shared" si="2"/>
      </c>
      <c r="T35" s="5">
        <f>IF($A35="","",SUMIFS(Tasks!$T$2:$T$501,Tasks!$B$2:$B$501,$A35))</f>
      </c>
      <c r="U35" s="6">
        <f t="shared" si="3"/>
      </c>
    </row>
    <row r="36" ht="30" customHeight="1" spans="1:21" x14ac:dyDescent="0.25">
      <c r="A36" s="2"/>
      <c r="B36" s="3"/>
      <c r="C36" s="4"/>
      <c r="D36" s="4"/>
      <c r="E36" s="2"/>
      <c r="F36" s="4"/>
      <c r="G36" s="2"/>
      <c r="H36" s="2"/>
      <c r="I36" s="4"/>
      <c r="J36" s="4"/>
      <c r="K36" s="4"/>
      <c r="L36" s="4"/>
      <c r="M36" s="4"/>
      <c r="N36" s="4"/>
      <c r="O36" s="4"/>
      <c r="P36" s="3"/>
      <c r="Q36" s="5">
        <f>IF($A36="","",COUNTIFS(Tasks!$B$2:$B$501,$A36))</f>
      </c>
      <c r="R36" s="5">
        <f>IF($A36="","",COUNTIFS(Tasks!$B$2:$B$501,$A36,Tasks!$L$2:$L$501,"Completed"))</f>
      </c>
      <c r="S36" s="5">
        <f t="shared" si="2"/>
      </c>
      <c r="T36" s="5">
        <f>IF($A36="","",SUMIFS(Tasks!$T$2:$T$501,Tasks!$B$2:$B$501,$A36))</f>
      </c>
      <c r="U36" s="6">
        <f t="shared" si="3"/>
      </c>
    </row>
    <row r="37" ht="30" customHeight="1" spans="1:21" x14ac:dyDescent="0.25">
      <c r="A37" s="2"/>
      <c r="B37" s="3"/>
      <c r="C37" s="4"/>
      <c r="D37" s="4"/>
      <c r="E37" s="2"/>
      <c r="F37" s="4"/>
      <c r="G37" s="2"/>
      <c r="H37" s="2"/>
      <c r="I37" s="4"/>
      <c r="J37" s="4"/>
      <c r="K37" s="4"/>
      <c r="L37" s="4"/>
      <c r="M37" s="4"/>
      <c r="N37" s="4"/>
      <c r="O37" s="4"/>
      <c r="P37" s="3"/>
      <c r="Q37" s="5">
        <f>IF($A37="","",COUNTIFS(Tasks!$B$2:$B$501,$A37))</f>
      </c>
      <c r="R37" s="5">
        <f>IF($A37="","",COUNTIFS(Tasks!$B$2:$B$501,$A37,Tasks!$L$2:$L$501,"Completed"))</f>
      </c>
      <c r="S37" s="5">
        <f t="shared" si="2"/>
      </c>
      <c r="T37" s="5">
        <f>IF($A37="","",SUMIFS(Tasks!$T$2:$T$501,Tasks!$B$2:$B$501,$A37))</f>
      </c>
      <c r="U37" s="6">
        <f t="shared" si="3"/>
      </c>
    </row>
    <row r="38" ht="30" customHeight="1" spans="1:21" x14ac:dyDescent="0.25">
      <c r="A38" s="2"/>
      <c r="B38" s="3"/>
      <c r="C38" s="4"/>
      <c r="D38" s="4"/>
      <c r="E38" s="2"/>
      <c r="F38" s="4"/>
      <c r="G38" s="2"/>
      <c r="H38" s="2"/>
      <c r="I38" s="4"/>
      <c r="J38" s="4"/>
      <c r="K38" s="4"/>
      <c r="L38" s="4"/>
      <c r="M38" s="4"/>
      <c r="N38" s="4"/>
      <c r="O38" s="4"/>
      <c r="P38" s="3"/>
      <c r="Q38" s="5">
        <f>IF($A38="","",COUNTIFS(Tasks!$B$2:$B$501,$A38))</f>
      </c>
      <c r="R38" s="5">
        <f>IF($A38="","",COUNTIFS(Tasks!$B$2:$B$501,$A38,Tasks!$L$2:$L$501,"Completed"))</f>
      </c>
      <c r="S38" s="5">
        <f t="shared" si="2"/>
      </c>
      <c r="T38" s="5">
        <f>IF($A38="","",SUMIFS(Tasks!$T$2:$T$501,Tasks!$B$2:$B$501,$A38))</f>
      </c>
      <c r="U38" s="6">
        <f t="shared" si="3"/>
      </c>
    </row>
    <row r="39" ht="30" customHeight="1" spans="1:21" x14ac:dyDescent="0.25">
      <c r="A39" s="2"/>
      <c r="B39" s="3"/>
      <c r="C39" s="4"/>
      <c r="D39" s="4"/>
      <c r="E39" s="2"/>
      <c r="F39" s="4"/>
      <c r="G39" s="2"/>
      <c r="H39" s="2"/>
      <c r="I39" s="4"/>
      <c r="J39" s="4"/>
      <c r="K39" s="4"/>
      <c r="L39" s="4"/>
      <c r="M39" s="4"/>
      <c r="N39" s="4"/>
      <c r="O39" s="4"/>
      <c r="P39" s="3"/>
      <c r="Q39" s="5">
        <f>IF($A39="","",COUNTIFS(Tasks!$B$2:$B$501,$A39))</f>
      </c>
      <c r="R39" s="5">
        <f>IF($A39="","",COUNTIFS(Tasks!$B$2:$B$501,$A39,Tasks!$L$2:$L$501,"Completed"))</f>
      </c>
      <c r="S39" s="5">
        <f t="shared" si="2"/>
      </c>
      <c r="T39" s="5">
        <f>IF($A39="","",SUMIFS(Tasks!$T$2:$T$501,Tasks!$B$2:$B$501,$A39))</f>
      </c>
      <c r="U39" s="6">
        <f t="shared" si="3"/>
      </c>
    </row>
    <row r="40" ht="30" customHeight="1" spans="1:21" x14ac:dyDescent="0.25">
      <c r="A40" s="2"/>
      <c r="B40" s="3"/>
      <c r="C40" s="4"/>
      <c r="D40" s="4"/>
      <c r="E40" s="2"/>
      <c r="F40" s="4"/>
      <c r="G40" s="2"/>
      <c r="H40" s="2"/>
      <c r="I40" s="4"/>
      <c r="J40" s="4"/>
      <c r="K40" s="4"/>
      <c r="L40" s="4"/>
      <c r="M40" s="4"/>
      <c r="N40" s="4"/>
      <c r="O40" s="4"/>
      <c r="P40" s="3"/>
      <c r="Q40" s="5">
        <f>IF($A40="","",COUNTIFS(Tasks!$B$2:$B$501,$A40))</f>
      </c>
      <c r="R40" s="5">
        <f>IF($A40="","",COUNTIFS(Tasks!$B$2:$B$501,$A40,Tasks!$L$2:$L$501,"Completed"))</f>
      </c>
      <c r="S40" s="5">
        <f t="shared" si="2"/>
      </c>
      <c r="T40" s="5">
        <f>IF($A40="","",SUMIFS(Tasks!$T$2:$T$501,Tasks!$B$2:$B$501,$A40))</f>
      </c>
      <c r="U40" s="6">
        <f t="shared" si="3"/>
      </c>
    </row>
    <row r="41" ht="30" customHeight="1" spans="1:21" x14ac:dyDescent="0.25">
      <c r="A41" s="2"/>
      <c r="B41" s="3"/>
      <c r="C41" s="4"/>
      <c r="D41" s="4"/>
      <c r="E41" s="2"/>
      <c r="F41" s="4"/>
      <c r="G41" s="2"/>
      <c r="H41" s="2"/>
      <c r="I41" s="4"/>
      <c r="J41" s="4"/>
      <c r="K41" s="4"/>
      <c r="L41" s="4"/>
      <c r="M41" s="4"/>
      <c r="N41" s="4"/>
      <c r="O41" s="4"/>
      <c r="P41" s="3"/>
      <c r="Q41" s="5">
        <f>IF($A41="","",COUNTIFS(Tasks!$B$2:$B$501,$A41))</f>
      </c>
      <c r="R41" s="5">
        <f>IF($A41="","",COUNTIFS(Tasks!$B$2:$B$501,$A41,Tasks!$L$2:$L$501,"Completed"))</f>
      </c>
      <c r="S41" s="5">
        <f t="shared" si="2"/>
      </c>
      <c r="T41" s="5">
        <f>IF($A41="","",SUMIFS(Tasks!$T$2:$T$501,Tasks!$B$2:$B$501,$A41))</f>
      </c>
      <c r="U41" s="6">
        <f t="shared" si="3"/>
      </c>
    </row>
    <row r="42" ht="30" customHeight="1" spans="1:21" x14ac:dyDescent="0.25">
      <c r="A42" s="2"/>
      <c r="B42" s="3"/>
      <c r="C42" s="4"/>
      <c r="D42" s="4"/>
      <c r="E42" s="2"/>
      <c r="F42" s="4"/>
      <c r="G42" s="2"/>
      <c r="H42" s="2"/>
      <c r="I42" s="4"/>
      <c r="J42" s="4"/>
      <c r="K42" s="4"/>
      <c r="L42" s="4"/>
      <c r="M42" s="4"/>
      <c r="N42" s="4"/>
      <c r="O42" s="4"/>
      <c r="P42" s="3"/>
      <c r="Q42" s="5">
        <f>IF($A42="","",COUNTIFS(Tasks!$B$2:$B$501,$A42))</f>
      </c>
      <c r="R42" s="5">
        <f>IF($A42="","",COUNTIFS(Tasks!$B$2:$B$501,$A42,Tasks!$L$2:$L$501,"Completed"))</f>
      </c>
      <c r="S42" s="5">
        <f t="shared" si="2"/>
      </c>
      <c r="T42" s="5">
        <f>IF($A42="","",SUMIFS(Tasks!$T$2:$T$501,Tasks!$B$2:$B$501,$A42))</f>
      </c>
      <c r="U42" s="6">
        <f t="shared" si="3"/>
      </c>
    </row>
    <row r="43" ht="30" customHeight="1" spans="1:21" x14ac:dyDescent="0.25">
      <c r="A43" s="2"/>
      <c r="B43" s="3"/>
      <c r="C43" s="4"/>
      <c r="D43" s="4"/>
      <c r="E43" s="2"/>
      <c r="F43" s="4"/>
      <c r="G43" s="2"/>
      <c r="H43" s="2"/>
      <c r="I43" s="4"/>
      <c r="J43" s="4"/>
      <c r="K43" s="4"/>
      <c r="L43" s="4"/>
      <c r="M43" s="4"/>
      <c r="N43" s="4"/>
      <c r="O43" s="4"/>
      <c r="P43" s="3"/>
      <c r="Q43" s="5">
        <f>IF($A43="","",COUNTIFS(Tasks!$B$2:$B$501,$A43))</f>
      </c>
      <c r="R43" s="5">
        <f>IF($A43="","",COUNTIFS(Tasks!$B$2:$B$501,$A43,Tasks!$L$2:$L$501,"Completed"))</f>
      </c>
      <c r="S43" s="5">
        <f t="shared" si="2"/>
      </c>
      <c r="T43" s="5">
        <f>IF($A43="","",SUMIFS(Tasks!$T$2:$T$501,Tasks!$B$2:$B$501,$A43))</f>
      </c>
      <c r="U43" s="6">
        <f t="shared" si="3"/>
      </c>
    </row>
    <row r="44" ht="30" customHeight="1" spans="1:21" x14ac:dyDescent="0.25">
      <c r="A44" s="2"/>
      <c r="B44" s="3"/>
      <c r="C44" s="4"/>
      <c r="D44" s="4"/>
      <c r="E44" s="2"/>
      <c r="F44" s="4"/>
      <c r="G44" s="2"/>
      <c r="H44" s="2"/>
      <c r="I44" s="4"/>
      <c r="J44" s="4"/>
      <c r="K44" s="4"/>
      <c r="L44" s="4"/>
      <c r="M44" s="4"/>
      <c r="N44" s="4"/>
      <c r="O44" s="4"/>
      <c r="P44" s="3"/>
      <c r="Q44" s="5">
        <f>IF($A44="","",COUNTIFS(Tasks!$B$2:$B$501,$A44))</f>
      </c>
      <c r="R44" s="5">
        <f>IF($A44="","",COUNTIFS(Tasks!$B$2:$B$501,$A44,Tasks!$L$2:$L$501,"Completed"))</f>
      </c>
      <c r="S44" s="5">
        <f t="shared" si="2"/>
      </c>
      <c r="T44" s="5">
        <f>IF($A44="","",SUMIFS(Tasks!$T$2:$T$501,Tasks!$B$2:$B$501,$A44))</f>
      </c>
      <c r="U44" s="6">
        <f t="shared" si="3"/>
      </c>
    </row>
    <row r="45" ht="30" customHeight="1" spans="1:21" x14ac:dyDescent="0.25">
      <c r="A45" s="2"/>
      <c r="B45" s="3"/>
      <c r="C45" s="4"/>
      <c r="D45" s="4"/>
      <c r="E45" s="2"/>
      <c r="F45" s="4"/>
      <c r="G45" s="2"/>
      <c r="H45" s="2"/>
      <c r="I45" s="4"/>
      <c r="J45" s="4"/>
      <c r="K45" s="4"/>
      <c r="L45" s="4"/>
      <c r="M45" s="4"/>
      <c r="N45" s="4"/>
      <c r="O45" s="4"/>
      <c r="P45" s="3"/>
      <c r="Q45" s="5">
        <f>IF($A45="","",COUNTIFS(Tasks!$B$2:$B$501,$A45))</f>
      </c>
      <c r="R45" s="5">
        <f>IF($A45="","",COUNTIFS(Tasks!$B$2:$B$501,$A45,Tasks!$L$2:$L$501,"Completed"))</f>
      </c>
      <c r="S45" s="5">
        <f t="shared" si="2"/>
      </c>
      <c r="T45" s="5">
        <f>IF($A45="","",SUMIFS(Tasks!$T$2:$T$501,Tasks!$B$2:$B$501,$A45))</f>
      </c>
      <c r="U45" s="6">
        <f t="shared" si="3"/>
      </c>
    </row>
    <row r="46" ht="30" customHeight="1" spans="1:21" x14ac:dyDescent="0.25">
      <c r="A46" s="2"/>
      <c r="B46" s="3"/>
      <c r="C46" s="4"/>
      <c r="D46" s="4"/>
      <c r="E46" s="2"/>
      <c r="F46" s="4"/>
      <c r="G46" s="2"/>
      <c r="H46" s="2"/>
      <c r="I46" s="4"/>
      <c r="J46" s="4"/>
      <c r="K46" s="4"/>
      <c r="L46" s="4"/>
      <c r="M46" s="4"/>
      <c r="N46" s="4"/>
      <c r="O46" s="4"/>
      <c r="P46" s="3"/>
      <c r="Q46" s="5">
        <f>IF($A46="","",COUNTIFS(Tasks!$B$2:$B$501,$A46))</f>
      </c>
      <c r="R46" s="5">
        <f>IF($A46="","",COUNTIFS(Tasks!$B$2:$B$501,$A46,Tasks!$L$2:$L$501,"Completed"))</f>
      </c>
      <c r="S46" s="5">
        <f t="shared" si="2"/>
      </c>
      <c r="T46" s="5">
        <f>IF($A46="","",SUMIFS(Tasks!$T$2:$T$501,Tasks!$B$2:$B$501,$A46))</f>
      </c>
      <c r="U46" s="6">
        <f t="shared" si="3"/>
      </c>
    </row>
    <row r="47" ht="30" customHeight="1" spans="1:21" x14ac:dyDescent="0.25">
      <c r="A47" s="2"/>
      <c r="B47" s="3"/>
      <c r="C47" s="4"/>
      <c r="D47" s="4"/>
      <c r="E47" s="2"/>
      <c r="F47" s="4"/>
      <c r="G47" s="2"/>
      <c r="H47" s="2"/>
      <c r="I47" s="4"/>
      <c r="J47" s="4"/>
      <c r="K47" s="4"/>
      <c r="L47" s="4"/>
      <c r="M47" s="4"/>
      <c r="N47" s="4"/>
      <c r="O47" s="4"/>
      <c r="P47" s="3"/>
      <c r="Q47" s="5">
        <f>IF($A47="","",COUNTIFS(Tasks!$B$2:$B$501,$A47))</f>
      </c>
      <c r="R47" s="5">
        <f>IF($A47="","",COUNTIFS(Tasks!$B$2:$B$501,$A47,Tasks!$L$2:$L$501,"Completed"))</f>
      </c>
      <c r="S47" s="5">
        <f t="shared" si="2"/>
      </c>
      <c r="T47" s="5">
        <f>IF($A47="","",SUMIFS(Tasks!$T$2:$T$501,Tasks!$B$2:$B$501,$A47))</f>
      </c>
      <c r="U47" s="6">
        <f t="shared" si="3"/>
      </c>
    </row>
    <row r="48" ht="30" customHeight="1" spans="1:21" x14ac:dyDescent="0.25">
      <c r="A48" s="2"/>
      <c r="B48" s="3"/>
      <c r="C48" s="4"/>
      <c r="D48" s="4"/>
      <c r="E48" s="2"/>
      <c r="F48" s="4"/>
      <c r="G48" s="2"/>
      <c r="H48" s="2"/>
      <c r="I48" s="4"/>
      <c r="J48" s="4"/>
      <c r="K48" s="4"/>
      <c r="L48" s="4"/>
      <c r="M48" s="4"/>
      <c r="N48" s="4"/>
      <c r="O48" s="4"/>
      <c r="P48" s="3"/>
      <c r="Q48" s="5">
        <f>IF($A48="","",COUNTIFS(Tasks!$B$2:$B$501,$A48))</f>
      </c>
      <c r="R48" s="5">
        <f>IF($A48="","",COUNTIFS(Tasks!$B$2:$B$501,$A48,Tasks!$L$2:$L$501,"Completed"))</f>
      </c>
      <c r="S48" s="5">
        <f t="shared" si="2"/>
      </c>
      <c r="T48" s="5">
        <f>IF($A48="","",SUMIFS(Tasks!$T$2:$T$501,Tasks!$B$2:$B$501,$A48))</f>
      </c>
      <c r="U48" s="6">
        <f t="shared" si="3"/>
      </c>
    </row>
    <row r="49" ht="30" customHeight="1" spans="1:21" x14ac:dyDescent="0.25">
      <c r="A49" s="2"/>
      <c r="B49" s="3"/>
      <c r="C49" s="4"/>
      <c r="D49" s="4"/>
      <c r="E49" s="2"/>
      <c r="F49" s="4"/>
      <c r="G49" s="2"/>
      <c r="H49" s="2"/>
      <c r="I49" s="4"/>
      <c r="J49" s="4"/>
      <c r="K49" s="4"/>
      <c r="L49" s="4"/>
      <c r="M49" s="4"/>
      <c r="N49" s="4"/>
      <c r="O49" s="4"/>
      <c r="P49" s="3"/>
      <c r="Q49" s="5">
        <f>IF($A49="","",COUNTIFS(Tasks!$B$2:$B$501,$A49))</f>
      </c>
      <c r="R49" s="5">
        <f>IF($A49="","",COUNTIFS(Tasks!$B$2:$B$501,$A49,Tasks!$L$2:$L$501,"Completed"))</f>
      </c>
      <c r="S49" s="5">
        <f t="shared" si="2"/>
      </c>
      <c r="T49" s="5">
        <f>IF($A49="","",SUMIFS(Tasks!$T$2:$T$501,Tasks!$B$2:$B$501,$A49))</f>
      </c>
      <c r="U49" s="6">
        <f t="shared" si="3"/>
      </c>
    </row>
    <row r="50" ht="30" customHeight="1" spans="1:21" x14ac:dyDescent="0.25">
      <c r="A50" s="2"/>
      <c r="B50" s="3"/>
      <c r="C50" s="4"/>
      <c r="D50" s="4"/>
      <c r="E50" s="2"/>
      <c r="F50" s="4"/>
      <c r="G50" s="2"/>
      <c r="H50" s="2"/>
      <c r="I50" s="4"/>
      <c r="J50" s="4"/>
      <c r="K50" s="4"/>
      <c r="L50" s="4"/>
      <c r="M50" s="4"/>
      <c r="N50" s="4"/>
      <c r="O50" s="4"/>
      <c r="P50" s="3"/>
      <c r="Q50" s="5">
        <f>IF($A50="","",COUNTIFS(Tasks!$B$2:$B$501,$A50))</f>
      </c>
      <c r="R50" s="5">
        <f>IF($A50="","",COUNTIFS(Tasks!$B$2:$B$501,$A50,Tasks!$L$2:$L$501,"Completed"))</f>
      </c>
      <c r="S50" s="5">
        <f t="shared" si="2"/>
      </c>
      <c r="T50" s="5">
        <f>IF($A50="","",SUMIFS(Tasks!$T$2:$T$501,Tasks!$B$2:$B$501,$A50))</f>
      </c>
      <c r="U50" s="6">
        <f t="shared" si="3"/>
      </c>
    </row>
    <row r="51" ht="30" customHeight="1" spans="1:21" x14ac:dyDescent="0.25">
      <c r="A51" s="2"/>
      <c r="B51" s="3"/>
      <c r="C51" s="4"/>
      <c r="D51" s="4"/>
      <c r="E51" s="2"/>
      <c r="F51" s="4"/>
      <c r="G51" s="2"/>
      <c r="H51" s="2"/>
      <c r="I51" s="4"/>
      <c r="J51" s="4"/>
      <c r="K51" s="4"/>
      <c r="L51" s="4"/>
      <c r="M51" s="4"/>
      <c r="N51" s="4"/>
      <c r="O51" s="4"/>
      <c r="P51" s="3"/>
      <c r="Q51" s="5">
        <f>IF($A51="","",COUNTIFS(Tasks!$B$2:$B$501,$A51))</f>
      </c>
      <c r="R51" s="5">
        <f>IF($A51="","",COUNTIFS(Tasks!$B$2:$B$501,$A51,Tasks!$L$2:$L$501,"Completed"))</f>
      </c>
      <c r="S51" s="5">
        <f t="shared" si="2"/>
      </c>
      <c r="T51" s="5">
        <f>IF($A51="","",SUMIFS(Tasks!$T$2:$T$501,Tasks!$B$2:$B$501,$A51))</f>
      </c>
      <c r="U51" s="6">
        <f t="shared" si="3"/>
      </c>
    </row>
    <row r="52" ht="30" customHeight="1" spans="1:21" x14ac:dyDescent="0.25">
      <c r="A52" s="2"/>
      <c r="B52" s="3"/>
      <c r="C52" s="4"/>
      <c r="D52" s="4"/>
      <c r="E52" s="2"/>
      <c r="F52" s="4"/>
      <c r="G52" s="2"/>
      <c r="H52" s="2"/>
      <c r="I52" s="4"/>
      <c r="J52" s="4"/>
      <c r="K52" s="4"/>
      <c r="L52" s="4"/>
      <c r="M52" s="4"/>
      <c r="N52" s="4"/>
      <c r="O52" s="4"/>
      <c r="P52" s="3"/>
      <c r="Q52" s="5">
        <f>IF($A52="","",COUNTIFS(Tasks!$B$2:$B$501,$A52))</f>
      </c>
      <c r="R52" s="5">
        <f>IF($A52="","",COUNTIFS(Tasks!$B$2:$B$501,$A52,Tasks!$L$2:$L$501,"Completed"))</f>
      </c>
      <c r="S52" s="5">
        <f t="shared" si="2"/>
      </c>
      <c r="T52" s="5">
        <f>IF($A52="","",SUMIFS(Tasks!$T$2:$T$501,Tasks!$B$2:$B$501,$A52))</f>
      </c>
      <c r="U52" s="6">
        <f t="shared" si="3"/>
      </c>
    </row>
    <row r="53" ht="30" customHeight="1" spans="1:21" x14ac:dyDescent="0.25">
      <c r="A53" s="2"/>
      <c r="B53" s="3"/>
      <c r="C53" s="4"/>
      <c r="D53" s="4"/>
      <c r="E53" s="2"/>
      <c r="F53" s="4"/>
      <c r="G53" s="2"/>
      <c r="H53" s="2"/>
      <c r="I53" s="4"/>
      <c r="J53" s="4"/>
      <c r="K53" s="4"/>
      <c r="L53" s="4"/>
      <c r="M53" s="4"/>
      <c r="N53" s="4"/>
      <c r="O53" s="4"/>
      <c r="P53" s="3"/>
      <c r="Q53" s="5">
        <f>IF($A53="","",COUNTIFS(Tasks!$B$2:$B$501,$A53))</f>
      </c>
      <c r="R53" s="5">
        <f>IF($A53="","",COUNTIFS(Tasks!$B$2:$B$501,$A53,Tasks!$L$2:$L$501,"Completed"))</f>
      </c>
      <c r="S53" s="5">
        <f t="shared" si="2"/>
      </c>
      <c r="T53" s="5">
        <f>IF($A53="","",SUMIFS(Tasks!$T$2:$T$501,Tasks!$B$2:$B$501,$A53))</f>
      </c>
      <c r="U53" s="6">
        <f t="shared" si="3"/>
      </c>
    </row>
    <row r="54" ht="30" customHeight="1" spans="1:21" x14ac:dyDescent="0.25">
      <c r="A54" s="2"/>
      <c r="B54" s="3"/>
      <c r="C54" s="4"/>
      <c r="D54" s="4"/>
      <c r="E54" s="2"/>
      <c r="F54" s="4"/>
      <c r="G54" s="2"/>
      <c r="H54" s="2"/>
      <c r="I54" s="4"/>
      <c r="J54" s="4"/>
      <c r="K54" s="4"/>
      <c r="L54" s="4"/>
      <c r="M54" s="4"/>
      <c r="N54" s="4"/>
      <c r="O54" s="4"/>
      <c r="P54" s="3"/>
      <c r="Q54" s="5">
        <f>IF($A54="","",COUNTIFS(Tasks!$B$2:$B$501,$A54))</f>
      </c>
      <c r="R54" s="5">
        <f>IF($A54="","",COUNTIFS(Tasks!$B$2:$B$501,$A54,Tasks!$L$2:$L$501,"Completed"))</f>
      </c>
      <c r="S54" s="5">
        <f t="shared" si="2"/>
      </c>
      <c r="T54" s="5">
        <f>IF($A54="","",SUMIFS(Tasks!$T$2:$T$501,Tasks!$B$2:$B$501,$A54))</f>
      </c>
      <c r="U54" s="6">
        <f t="shared" si="3"/>
      </c>
    </row>
    <row r="55" ht="30" customHeight="1" spans="1:21" x14ac:dyDescent="0.25">
      <c r="A55" s="2"/>
      <c r="B55" s="3"/>
      <c r="C55" s="4"/>
      <c r="D55" s="4"/>
      <c r="E55" s="2"/>
      <c r="F55" s="4"/>
      <c r="G55" s="2"/>
      <c r="H55" s="2"/>
      <c r="I55" s="4"/>
      <c r="J55" s="4"/>
      <c r="K55" s="4"/>
      <c r="L55" s="4"/>
      <c r="M55" s="4"/>
      <c r="N55" s="4"/>
      <c r="O55" s="4"/>
      <c r="P55" s="3"/>
      <c r="Q55" s="5">
        <f>IF($A55="","",COUNTIFS(Tasks!$B$2:$B$501,$A55))</f>
      </c>
      <c r="R55" s="5">
        <f>IF($A55="","",COUNTIFS(Tasks!$B$2:$B$501,$A55,Tasks!$L$2:$L$501,"Completed"))</f>
      </c>
      <c r="S55" s="5">
        <f t="shared" si="2"/>
      </c>
      <c r="T55" s="5">
        <f>IF($A55="","",SUMIFS(Tasks!$T$2:$T$501,Tasks!$B$2:$B$501,$A55))</f>
      </c>
      <c r="U55" s="6">
        <f t="shared" si="3"/>
      </c>
    </row>
    <row r="56" ht="30" customHeight="1" spans="1:21" x14ac:dyDescent="0.25">
      <c r="A56" s="2"/>
      <c r="B56" s="3"/>
      <c r="C56" s="4"/>
      <c r="D56" s="4"/>
      <c r="E56" s="2"/>
      <c r="F56" s="4"/>
      <c r="G56" s="2"/>
      <c r="H56" s="2"/>
      <c r="I56" s="4"/>
      <c r="J56" s="4"/>
      <c r="K56" s="4"/>
      <c r="L56" s="4"/>
      <c r="M56" s="4"/>
      <c r="N56" s="4"/>
      <c r="O56" s="4"/>
      <c r="P56" s="3"/>
      <c r="Q56" s="5">
        <f>IF($A56="","",COUNTIFS(Tasks!$B$2:$B$501,$A56))</f>
      </c>
      <c r="R56" s="5">
        <f>IF($A56="","",COUNTIFS(Tasks!$B$2:$B$501,$A56,Tasks!$L$2:$L$501,"Completed"))</f>
      </c>
      <c r="S56" s="5">
        <f t="shared" si="2"/>
      </c>
      <c r="T56" s="5">
        <f>IF($A56="","",SUMIFS(Tasks!$T$2:$T$501,Tasks!$B$2:$B$501,$A56))</f>
      </c>
      <c r="U56" s="6">
        <f t="shared" si="3"/>
      </c>
    </row>
    <row r="57" ht="30" customHeight="1" spans="1:21" x14ac:dyDescent="0.25">
      <c r="A57" s="2"/>
      <c r="B57" s="3"/>
      <c r="C57" s="4"/>
      <c r="D57" s="4"/>
      <c r="E57" s="2"/>
      <c r="F57" s="4"/>
      <c r="G57" s="2"/>
      <c r="H57" s="2"/>
      <c r="I57" s="4"/>
      <c r="J57" s="4"/>
      <c r="K57" s="4"/>
      <c r="L57" s="4"/>
      <c r="M57" s="4"/>
      <c r="N57" s="4"/>
      <c r="O57" s="4"/>
      <c r="P57" s="3"/>
      <c r="Q57" s="5">
        <f>IF($A57="","",COUNTIFS(Tasks!$B$2:$B$501,$A57))</f>
      </c>
      <c r="R57" s="5">
        <f>IF($A57="","",COUNTIFS(Tasks!$B$2:$B$501,$A57,Tasks!$L$2:$L$501,"Completed"))</f>
      </c>
      <c r="S57" s="5">
        <f t="shared" si="2"/>
      </c>
      <c r="T57" s="5">
        <f>IF($A57="","",SUMIFS(Tasks!$T$2:$T$501,Tasks!$B$2:$B$501,$A57))</f>
      </c>
      <c r="U57" s="6">
        <f t="shared" si="3"/>
      </c>
    </row>
    <row r="58" ht="30" customHeight="1" spans="1:21" x14ac:dyDescent="0.25">
      <c r="A58" s="2"/>
      <c r="B58" s="3"/>
      <c r="C58" s="4"/>
      <c r="D58" s="4"/>
      <c r="E58" s="2"/>
      <c r="F58" s="4"/>
      <c r="G58" s="2"/>
      <c r="H58" s="2"/>
      <c r="I58" s="4"/>
      <c r="J58" s="4"/>
      <c r="K58" s="4"/>
      <c r="L58" s="4"/>
      <c r="M58" s="4"/>
      <c r="N58" s="4"/>
      <c r="O58" s="4"/>
      <c r="P58" s="3"/>
      <c r="Q58" s="5">
        <f>IF($A58="","",COUNTIFS(Tasks!$B$2:$B$501,$A58))</f>
      </c>
      <c r="R58" s="5">
        <f>IF($A58="","",COUNTIFS(Tasks!$B$2:$B$501,$A58,Tasks!$L$2:$L$501,"Completed"))</f>
      </c>
      <c r="S58" s="5">
        <f t="shared" si="2"/>
      </c>
      <c r="T58" s="5">
        <f>IF($A58="","",SUMIFS(Tasks!$T$2:$T$501,Tasks!$B$2:$B$501,$A58))</f>
      </c>
      <c r="U58" s="6">
        <f t="shared" si="3"/>
      </c>
    </row>
    <row r="59" ht="30" customHeight="1" spans="1:21" x14ac:dyDescent="0.25">
      <c r="A59" s="2"/>
      <c r="B59" s="3"/>
      <c r="C59" s="4"/>
      <c r="D59" s="4"/>
      <c r="E59" s="2"/>
      <c r="F59" s="4"/>
      <c r="G59" s="2"/>
      <c r="H59" s="2"/>
      <c r="I59" s="4"/>
      <c r="J59" s="4"/>
      <c r="K59" s="4"/>
      <c r="L59" s="4"/>
      <c r="M59" s="4"/>
      <c r="N59" s="4"/>
      <c r="O59" s="4"/>
      <c r="P59" s="3"/>
      <c r="Q59" s="5">
        <f>IF($A59="","",COUNTIFS(Tasks!$B$2:$B$501,$A59))</f>
      </c>
      <c r="R59" s="5">
        <f>IF($A59="","",COUNTIFS(Tasks!$B$2:$B$501,$A59,Tasks!$L$2:$L$501,"Completed"))</f>
      </c>
      <c r="S59" s="5">
        <f t="shared" si="2"/>
      </c>
      <c r="T59" s="5">
        <f>IF($A59="","",SUMIFS(Tasks!$T$2:$T$501,Tasks!$B$2:$B$501,$A59))</f>
      </c>
      <c r="U59" s="6">
        <f t="shared" si="3"/>
      </c>
    </row>
    <row r="60" ht="30" customHeight="1" spans="1:21" x14ac:dyDescent="0.25">
      <c r="A60" s="2"/>
      <c r="B60" s="3"/>
      <c r="C60" s="4"/>
      <c r="D60" s="4"/>
      <c r="E60" s="2"/>
      <c r="F60" s="4"/>
      <c r="G60" s="2"/>
      <c r="H60" s="2"/>
      <c r="I60" s="4"/>
      <c r="J60" s="4"/>
      <c r="K60" s="4"/>
      <c r="L60" s="4"/>
      <c r="M60" s="4"/>
      <c r="N60" s="4"/>
      <c r="O60" s="4"/>
      <c r="P60" s="3"/>
      <c r="Q60" s="5">
        <f>IF($A60="","",COUNTIFS(Tasks!$B$2:$B$501,$A60))</f>
      </c>
      <c r="R60" s="5">
        <f>IF($A60="","",COUNTIFS(Tasks!$B$2:$B$501,$A60,Tasks!$L$2:$L$501,"Completed"))</f>
      </c>
      <c r="S60" s="5">
        <f t="shared" si="2"/>
      </c>
      <c r="T60" s="5">
        <f>IF($A60="","",SUMIFS(Tasks!$T$2:$T$501,Tasks!$B$2:$B$501,$A60))</f>
      </c>
      <c r="U60" s="6">
        <f t="shared" si="3"/>
      </c>
    </row>
    <row r="61" ht="30" customHeight="1" spans="1:21" x14ac:dyDescent="0.25">
      <c r="A61" s="2"/>
      <c r="B61" s="3"/>
      <c r="C61" s="4"/>
      <c r="D61" s="4"/>
      <c r="E61" s="2"/>
      <c r="F61" s="4"/>
      <c r="G61" s="2"/>
      <c r="H61" s="2"/>
      <c r="I61" s="4"/>
      <c r="J61" s="4"/>
      <c r="K61" s="4"/>
      <c r="L61" s="4"/>
      <c r="M61" s="4"/>
      <c r="N61" s="4"/>
      <c r="O61" s="4"/>
      <c r="P61" s="3"/>
      <c r="Q61" s="5">
        <f>IF($A61="","",COUNTIFS(Tasks!$B$2:$B$501,$A61))</f>
      </c>
      <c r="R61" s="5">
        <f>IF($A61="","",COUNTIFS(Tasks!$B$2:$B$501,$A61,Tasks!$L$2:$L$501,"Completed"))</f>
      </c>
      <c r="S61" s="5">
        <f t="shared" si="2"/>
      </c>
      <c r="T61" s="5">
        <f>IF($A61="","",SUMIFS(Tasks!$T$2:$T$501,Tasks!$B$2:$B$501,$A61))</f>
      </c>
      <c r="U61" s="6">
        <f t="shared" si="3"/>
      </c>
    </row>
    <row r="62" ht="30" customHeight="1" spans="1:21" x14ac:dyDescent="0.25">
      <c r="A62" s="2"/>
      <c r="B62" s="3"/>
      <c r="C62" s="4"/>
      <c r="D62" s="4"/>
      <c r="E62" s="2"/>
      <c r="F62" s="4"/>
      <c r="G62" s="2"/>
      <c r="H62" s="2"/>
      <c r="I62" s="4"/>
      <c r="J62" s="4"/>
      <c r="K62" s="4"/>
      <c r="L62" s="4"/>
      <c r="M62" s="4"/>
      <c r="N62" s="4"/>
      <c r="O62" s="4"/>
      <c r="P62" s="3"/>
      <c r="Q62" s="5">
        <f>IF($A62="","",COUNTIFS(Tasks!$B$2:$B$501,$A62))</f>
      </c>
      <c r="R62" s="5">
        <f>IF($A62="","",COUNTIFS(Tasks!$B$2:$B$501,$A62,Tasks!$L$2:$L$501,"Completed"))</f>
      </c>
      <c r="S62" s="5">
        <f t="shared" si="2"/>
      </c>
      <c r="T62" s="5">
        <f>IF($A62="","",SUMIFS(Tasks!$T$2:$T$501,Tasks!$B$2:$B$501,$A62))</f>
      </c>
      <c r="U62" s="6">
        <f t="shared" si="3"/>
      </c>
    </row>
    <row r="63" ht="30" customHeight="1" spans="1:21" x14ac:dyDescent="0.25">
      <c r="A63" s="2"/>
      <c r="B63" s="3"/>
      <c r="C63" s="4"/>
      <c r="D63" s="4"/>
      <c r="E63" s="2"/>
      <c r="F63" s="4"/>
      <c r="G63" s="2"/>
      <c r="H63" s="2"/>
      <c r="I63" s="4"/>
      <c r="J63" s="4"/>
      <c r="K63" s="4"/>
      <c r="L63" s="4"/>
      <c r="M63" s="4"/>
      <c r="N63" s="4"/>
      <c r="O63" s="4"/>
      <c r="P63" s="3"/>
      <c r="Q63" s="5">
        <f>IF($A63="","",COUNTIFS(Tasks!$B$2:$B$501,$A63))</f>
      </c>
      <c r="R63" s="5">
        <f>IF($A63="","",COUNTIFS(Tasks!$B$2:$B$501,$A63,Tasks!$L$2:$L$501,"Completed"))</f>
      </c>
      <c r="S63" s="5">
        <f t="shared" si="2"/>
      </c>
      <c r="T63" s="5">
        <f>IF($A63="","",SUMIFS(Tasks!$T$2:$T$501,Tasks!$B$2:$B$501,$A63))</f>
      </c>
      <c r="U63" s="6">
        <f t="shared" si="3"/>
      </c>
    </row>
    <row r="64" ht="30" customHeight="1" spans="1:21" x14ac:dyDescent="0.25">
      <c r="A64" s="2"/>
      <c r="B64" s="3"/>
      <c r="C64" s="4"/>
      <c r="D64" s="4"/>
      <c r="E64" s="2"/>
      <c r="F64" s="4"/>
      <c r="G64" s="2"/>
      <c r="H64" s="2"/>
      <c r="I64" s="4"/>
      <c r="J64" s="4"/>
      <c r="K64" s="4"/>
      <c r="L64" s="4"/>
      <c r="M64" s="4"/>
      <c r="N64" s="4"/>
      <c r="O64" s="4"/>
      <c r="P64" s="3"/>
      <c r="Q64" s="5">
        <f>IF($A64="","",COUNTIFS(Tasks!$B$2:$B$501,$A64))</f>
      </c>
      <c r="R64" s="5">
        <f>IF($A64="","",COUNTIFS(Tasks!$B$2:$B$501,$A64,Tasks!$L$2:$L$501,"Completed"))</f>
      </c>
      <c r="S64" s="5">
        <f t="shared" si="2"/>
      </c>
      <c r="T64" s="5">
        <f>IF($A64="","",SUMIFS(Tasks!$T$2:$T$501,Tasks!$B$2:$B$501,$A64))</f>
      </c>
      <c r="U64" s="6">
        <f t="shared" si="3"/>
      </c>
    </row>
    <row r="65" ht="30" customHeight="1" spans="1:21" x14ac:dyDescent="0.25">
      <c r="A65" s="2"/>
      <c r="B65" s="3"/>
      <c r="C65" s="4"/>
      <c r="D65" s="4"/>
      <c r="E65" s="2"/>
      <c r="F65" s="4"/>
      <c r="G65" s="2"/>
      <c r="H65" s="2"/>
      <c r="I65" s="4"/>
      <c r="J65" s="4"/>
      <c r="K65" s="4"/>
      <c r="L65" s="4"/>
      <c r="M65" s="4"/>
      <c r="N65" s="4"/>
      <c r="O65" s="4"/>
      <c r="P65" s="3"/>
      <c r="Q65" s="5">
        <f>IF($A65="","",COUNTIFS(Tasks!$B$2:$B$501,$A65))</f>
      </c>
      <c r="R65" s="5">
        <f>IF($A65="","",COUNTIFS(Tasks!$B$2:$B$501,$A65,Tasks!$L$2:$L$501,"Completed"))</f>
      </c>
      <c r="S65" s="5">
        <f t="shared" si="2"/>
      </c>
      <c r="T65" s="5">
        <f>IF($A65="","",SUMIFS(Tasks!$T$2:$T$501,Tasks!$B$2:$B$501,$A65))</f>
      </c>
      <c r="U65" s="6">
        <f t="shared" si="3"/>
      </c>
    </row>
    <row r="66" ht="30" customHeight="1" spans="1:21" x14ac:dyDescent="0.25">
      <c r="A66" s="2"/>
      <c r="B66" s="3"/>
      <c r="C66" s="4"/>
      <c r="D66" s="4"/>
      <c r="E66" s="2"/>
      <c r="F66" s="4"/>
      <c r="G66" s="2"/>
      <c r="H66" s="2"/>
      <c r="I66" s="4"/>
      <c r="J66" s="4"/>
      <c r="K66" s="4"/>
      <c r="L66" s="4"/>
      <c r="M66" s="4"/>
      <c r="N66" s="4"/>
      <c r="O66" s="4"/>
      <c r="P66" s="3"/>
      <c r="Q66" s="5">
        <f>IF($A66="","",COUNTIFS(Tasks!$B$2:$B$501,$A66))</f>
      </c>
      <c r="R66" s="5">
        <f>IF($A66="","",COUNTIFS(Tasks!$B$2:$B$501,$A66,Tasks!$L$2:$L$501,"Completed"))</f>
      </c>
      <c r="S66" s="5">
        <f t="shared" ref="S66:S97" si="4">IF($A66="","",$Q66-$R66)</f>
      </c>
      <c r="T66" s="5">
        <f>IF($A66="","",SUMIFS(Tasks!$T$2:$T$501,Tasks!$B$2:$B$501,$A66))</f>
      </c>
      <c r="U66" s="6">
        <f t="shared" ref="U66:U97" si="5">IF($A66="","",IF($Q66=0,"",$R66/$Q66))</f>
      </c>
    </row>
    <row r="67" ht="30" customHeight="1" spans="1:21" x14ac:dyDescent="0.25">
      <c r="A67" s="2"/>
      <c r="B67" s="3"/>
      <c r="C67" s="4"/>
      <c r="D67" s="4"/>
      <c r="E67" s="2"/>
      <c r="F67" s="4"/>
      <c r="G67" s="2"/>
      <c r="H67" s="2"/>
      <c r="I67" s="4"/>
      <c r="J67" s="4"/>
      <c r="K67" s="4"/>
      <c r="L67" s="4"/>
      <c r="M67" s="4"/>
      <c r="N67" s="4"/>
      <c r="O67" s="4"/>
      <c r="P67" s="3"/>
      <c r="Q67" s="5">
        <f>IF($A67="","",COUNTIFS(Tasks!$B$2:$B$501,$A67))</f>
      </c>
      <c r="R67" s="5">
        <f>IF($A67="","",COUNTIFS(Tasks!$B$2:$B$501,$A67,Tasks!$L$2:$L$501,"Completed"))</f>
      </c>
      <c r="S67" s="5">
        <f t="shared" si="4"/>
      </c>
      <c r="T67" s="5">
        <f>IF($A67="","",SUMIFS(Tasks!$T$2:$T$501,Tasks!$B$2:$B$501,$A67))</f>
      </c>
      <c r="U67" s="6">
        <f t="shared" si="5"/>
      </c>
    </row>
    <row r="68" ht="30" customHeight="1" spans="1:21" x14ac:dyDescent="0.25">
      <c r="A68" s="2"/>
      <c r="B68" s="3"/>
      <c r="C68" s="4"/>
      <c r="D68" s="4"/>
      <c r="E68" s="2"/>
      <c r="F68" s="4"/>
      <c r="G68" s="2"/>
      <c r="H68" s="2"/>
      <c r="I68" s="4"/>
      <c r="J68" s="4"/>
      <c r="K68" s="4"/>
      <c r="L68" s="4"/>
      <c r="M68" s="4"/>
      <c r="N68" s="4"/>
      <c r="O68" s="4"/>
      <c r="P68" s="3"/>
      <c r="Q68" s="5">
        <f>IF($A68="","",COUNTIFS(Tasks!$B$2:$B$501,$A68))</f>
      </c>
      <c r="R68" s="5">
        <f>IF($A68="","",COUNTIFS(Tasks!$B$2:$B$501,$A68,Tasks!$L$2:$L$501,"Completed"))</f>
      </c>
      <c r="S68" s="5">
        <f t="shared" si="4"/>
      </c>
      <c r="T68" s="5">
        <f>IF($A68="","",SUMIFS(Tasks!$T$2:$T$501,Tasks!$B$2:$B$501,$A68))</f>
      </c>
      <c r="U68" s="6">
        <f t="shared" si="5"/>
      </c>
    </row>
    <row r="69" ht="30" customHeight="1" spans="1:21" x14ac:dyDescent="0.25">
      <c r="A69" s="2"/>
      <c r="B69" s="3"/>
      <c r="C69" s="4"/>
      <c r="D69" s="4"/>
      <c r="E69" s="2"/>
      <c r="F69" s="4"/>
      <c r="G69" s="2"/>
      <c r="H69" s="2"/>
      <c r="I69" s="4"/>
      <c r="J69" s="4"/>
      <c r="K69" s="4"/>
      <c r="L69" s="4"/>
      <c r="M69" s="4"/>
      <c r="N69" s="4"/>
      <c r="O69" s="4"/>
      <c r="P69" s="3"/>
      <c r="Q69" s="5">
        <f>IF($A69="","",COUNTIFS(Tasks!$B$2:$B$501,$A69))</f>
      </c>
      <c r="R69" s="5">
        <f>IF($A69="","",COUNTIFS(Tasks!$B$2:$B$501,$A69,Tasks!$L$2:$L$501,"Completed"))</f>
      </c>
      <c r="S69" s="5">
        <f t="shared" si="4"/>
      </c>
      <c r="T69" s="5">
        <f>IF($A69="","",SUMIFS(Tasks!$T$2:$T$501,Tasks!$B$2:$B$501,$A69))</f>
      </c>
      <c r="U69" s="6">
        <f t="shared" si="5"/>
      </c>
    </row>
    <row r="70" ht="30" customHeight="1" spans="1:21" x14ac:dyDescent="0.25">
      <c r="A70" s="2"/>
      <c r="B70" s="3"/>
      <c r="C70" s="4"/>
      <c r="D70" s="4"/>
      <c r="E70" s="2"/>
      <c r="F70" s="4"/>
      <c r="G70" s="2"/>
      <c r="H70" s="2"/>
      <c r="I70" s="4"/>
      <c r="J70" s="4"/>
      <c r="K70" s="4"/>
      <c r="L70" s="4"/>
      <c r="M70" s="4"/>
      <c r="N70" s="4"/>
      <c r="O70" s="4"/>
      <c r="P70" s="3"/>
      <c r="Q70" s="5">
        <f>IF($A70="","",COUNTIFS(Tasks!$B$2:$B$501,$A70))</f>
      </c>
      <c r="R70" s="5">
        <f>IF($A70="","",COUNTIFS(Tasks!$B$2:$B$501,$A70,Tasks!$L$2:$L$501,"Completed"))</f>
      </c>
      <c r="S70" s="5">
        <f t="shared" si="4"/>
      </c>
      <c r="T70" s="5">
        <f>IF($A70="","",SUMIFS(Tasks!$T$2:$T$501,Tasks!$B$2:$B$501,$A70))</f>
      </c>
      <c r="U70" s="6">
        <f t="shared" si="5"/>
      </c>
    </row>
    <row r="71" ht="30" customHeight="1" spans="1:21" x14ac:dyDescent="0.25">
      <c r="A71" s="2"/>
      <c r="B71" s="3"/>
      <c r="C71" s="4"/>
      <c r="D71" s="4"/>
      <c r="E71" s="2"/>
      <c r="F71" s="4"/>
      <c r="G71" s="2"/>
      <c r="H71" s="2"/>
      <c r="I71" s="4"/>
      <c r="J71" s="4"/>
      <c r="K71" s="4"/>
      <c r="L71" s="4"/>
      <c r="M71" s="4"/>
      <c r="N71" s="4"/>
      <c r="O71" s="4"/>
      <c r="P71" s="3"/>
      <c r="Q71" s="5">
        <f>IF($A71="","",COUNTIFS(Tasks!$B$2:$B$501,$A71))</f>
      </c>
      <c r="R71" s="5">
        <f>IF($A71="","",COUNTIFS(Tasks!$B$2:$B$501,$A71,Tasks!$L$2:$L$501,"Completed"))</f>
      </c>
      <c r="S71" s="5">
        <f t="shared" si="4"/>
      </c>
      <c r="T71" s="5">
        <f>IF($A71="","",SUMIFS(Tasks!$T$2:$T$501,Tasks!$B$2:$B$501,$A71))</f>
      </c>
      <c r="U71" s="6">
        <f t="shared" si="5"/>
      </c>
    </row>
    <row r="72" ht="30" customHeight="1" spans="1:21" x14ac:dyDescent="0.25">
      <c r="A72" s="2"/>
      <c r="B72" s="3"/>
      <c r="C72" s="4"/>
      <c r="D72" s="4"/>
      <c r="E72" s="2"/>
      <c r="F72" s="4"/>
      <c r="G72" s="2"/>
      <c r="H72" s="2"/>
      <c r="I72" s="4"/>
      <c r="J72" s="4"/>
      <c r="K72" s="4"/>
      <c r="L72" s="4"/>
      <c r="M72" s="4"/>
      <c r="N72" s="4"/>
      <c r="O72" s="4"/>
      <c r="P72" s="3"/>
      <c r="Q72" s="5">
        <f>IF($A72="","",COUNTIFS(Tasks!$B$2:$B$501,$A72))</f>
      </c>
      <c r="R72" s="5">
        <f>IF($A72="","",COUNTIFS(Tasks!$B$2:$B$501,$A72,Tasks!$L$2:$L$501,"Completed"))</f>
      </c>
      <c r="S72" s="5">
        <f t="shared" si="4"/>
      </c>
      <c r="T72" s="5">
        <f>IF($A72="","",SUMIFS(Tasks!$T$2:$T$501,Tasks!$B$2:$B$501,$A72))</f>
      </c>
      <c r="U72" s="6">
        <f t="shared" si="5"/>
      </c>
    </row>
    <row r="73" ht="30" customHeight="1" spans="1:21" x14ac:dyDescent="0.25">
      <c r="A73" s="2"/>
      <c r="B73" s="3"/>
      <c r="C73" s="4"/>
      <c r="D73" s="4"/>
      <c r="E73" s="2"/>
      <c r="F73" s="4"/>
      <c r="G73" s="2"/>
      <c r="H73" s="2"/>
      <c r="I73" s="4"/>
      <c r="J73" s="4"/>
      <c r="K73" s="4"/>
      <c r="L73" s="4"/>
      <c r="M73" s="4"/>
      <c r="N73" s="4"/>
      <c r="O73" s="4"/>
      <c r="P73" s="3"/>
      <c r="Q73" s="5">
        <f>IF($A73="","",COUNTIFS(Tasks!$B$2:$B$501,$A73))</f>
      </c>
      <c r="R73" s="5">
        <f>IF($A73="","",COUNTIFS(Tasks!$B$2:$B$501,$A73,Tasks!$L$2:$L$501,"Completed"))</f>
      </c>
      <c r="S73" s="5">
        <f t="shared" si="4"/>
      </c>
      <c r="T73" s="5">
        <f>IF($A73="","",SUMIFS(Tasks!$T$2:$T$501,Tasks!$B$2:$B$501,$A73))</f>
      </c>
      <c r="U73" s="6">
        <f t="shared" si="5"/>
      </c>
    </row>
    <row r="74" ht="30" customHeight="1" spans="1:21" x14ac:dyDescent="0.25">
      <c r="A74" s="2"/>
      <c r="B74" s="3"/>
      <c r="C74" s="4"/>
      <c r="D74" s="4"/>
      <c r="E74" s="2"/>
      <c r="F74" s="4"/>
      <c r="G74" s="2"/>
      <c r="H74" s="2"/>
      <c r="I74" s="4"/>
      <c r="J74" s="4"/>
      <c r="K74" s="4"/>
      <c r="L74" s="4"/>
      <c r="M74" s="4"/>
      <c r="N74" s="4"/>
      <c r="O74" s="4"/>
      <c r="P74" s="3"/>
      <c r="Q74" s="5">
        <f>IF($A74="","",COUNTIFS(Tasks!$B$2:$B$501,$A74))</f>
      </c>
      <c r="R74" s="5">
        <f>IF($A74="","",COUNTIFS(Tasks!$B$2:$B$501,$A74,Tasks!$L$2:$L$501,"Completed"))</f>
      </c>
      <c r="S74" s="5">
        <f t="shared" si="4"/>
      </c>
      <c r="T74" s="5">
        <f>IF($A74="","",SUMIFS(Tasks!$T$2:$T$501,Tasks!$B$2:$B$501,$A74))</f>
      </c>
      <c r="U74" s="6">
        <f t="shared" si="5"/>
      </c>
    </row>
    <row r="75" ht="30" customHeight="1" spans="1:21" x14ac:dyDescent="0.25">
      <c r="A75" s="2"/>
      <c r="B75" s="3"/>
      <c r="C75" s="4"/>
      <c r="D75" s="4"/>
      <c r="E75" s="2"/>
      <c r="F75" s="4"/>
      <c r="G75" s="2"/>
      <c r="H75" s="2"/>
      <c r="I75" s="4"/>
      <c r="J75" s="4"/>
      <c r="K75" s="4"/>
      <c r="L75" s="4"/>
      <c r="M75" s="4"/>
      <c r="N75" s="4"/>
      <c r="O75" s="4"/>
      <c r="P75" s="3"/>
      <c r="Q75" s="5">
        <f>IF($A75="","",COUNTIFS(Tasks!$B$2:$B$501,$A75))</f>
      </c>
      <c r="R75" s="5">
        <f>IF($A75="","",COUNTIFS(Tasks!$B$2:$B$501,$A75,Tasks!$L$2:$L$501,"Completed"))</f>
      </c>
      <c r="S75" s="5">
        <f t="shared" si="4"/>
      </c>
      <c r="T75" s="5">
        <f>IF($A75="","",SUMIFS(Tasks!$T$2:$T$501,Tasks!$B$2:$B$501,$A75))</f>
      </c>
      <c r="U75" s="6">
        <f t="shared" si="5"/>
      </c>
    </row>
    <row r="76" ht="30" customHeight="1" spans="1:21" x14ac:dyDescent="0.25">
      <c r="A76" s="2"/>
      <c r="B76" s="3"/>
      <c r="C76" s="4"/>
      <c r="D76" s="4"/>
      <c r="E76" s="2"/>
      <c r="F76" s="4"/>
      <c r="G76" s="2"/>
      <c r="H76" s="2"/>
      <c r="I76" s="4"/>
      <c r="J76" s="4"/>
      <c r="K76" s="4"/>
      <c r="L76" s="4"/>
      <c r="M76" s="4"/>
      <c r="N76" s="4"/>
      <c r="O76" s="4"/>
      <c r="P76" s="3"/>
      <c r="Q76" s="5">
        <f>IF($A76="","",COUNTIFS(Tasks!$B$2:$B$501,$A76))</f>
      </c>
      <c r="R76" s="5">
        <f>IF($A76="","",COUNTIFS(Tasks!$B$2:$B$501,$A76,Tasks!$L$2:$L$501,"Completed"))</f>
      </c>
      <c r="S76" s="5">
        <f t="shared" si="4"/>
      </c>
      <c r="T76" s="5">
        <f>IF($A76="","",SUMIFS(Tasks!$T$2:$T$501,Tasks!$B$2:$B$501,$A76))</f>
      </c>
      <c r="U76" s="6">
        <f t="shared" si="5"/>
      </c>
    </row>
    <row r="77" ht="30" customHeight="1" spans="1:21" x14ac:dyDescent="0.25">
      <c r="A77" s="2"/>
      <c r="B77" s="3"/>
      <c r="C77" s="4"/>
      <c r="D77" s="4"/>
      <c r="E77" s="2"/>
      <c r="F77" s="4"/>
      <c r="G77" s="2"/>
      <c r="H77" s="2"/>
      <c r="I77" s="4"/>
      <c r="J77" s="4"/>
      <c r="K77" s="4"/>
      <c r="L77" s="4"/>
      <c r="M77" s="4"/>
      <c r="N77" s="4"/>
      <c r="O77" s="4"/>
      <c r="P77" s="3"/>
      <c r="Q77" s="5">
        <f>IF($A77="","",COUNTIFS(Tasks!$B$2:$B$501,$A77))</f>
      </c>
      <c r="R77" s="5">
        <f>IF($A77="","",COUNTIFS(Tasks!$B$2:$B$501,$A77,Tasks!$L$2:$L$501,"Completed"))</f>
      </c>
      <c r="S77" s="5">
        <f t="shared" si="4"/>
      </c>
      <c r="T77" s="5">
        <f>IF($A77="","",SUMIFS(Tasks!$T$2:$T$501,Tasks!$B$2:$B$501,$A77))</f>
      </c>
      <c r="U77" s="6">
        <f t="shared" si="5"/>
      </c>
    </row>
    <row r="78" ht="30" customHeight="1" spans="1:21" x14ac:dyDescent="0.25">
      <c r="A78" s="2"/>
      <c r="B78" s="3"/>
      <c r="C78" s="4"/>
      <c r="D78" s="4"/>
      <c r="E78" s="2"/>
      <c r="F78" s="4"/>
      <c r="G78" s="2"/>
      <c r="H78" s="2"/>
      <c r="I78" s="4"/>
      <c r="J78" s="4"/>
      <c r="K78" s="4"/>
      <c r="L78" s="4"/>
      <c r="M78" s="4"/>
      <c r="N78" s="4"/>
      <c r="O78" s="4"/>
      <c r="P78" s="3"/>
      <c r="Q78" s="5">
        <f>IF($A78="","",COUNTIFS(Tasks!$B$2:$B$501,$A78))</f>
      </c>
      <c r="R78" s="5">
        <f>IF($A78="","",COUNTIFS(Tasks!$B$2:$B$501,$A78,Tasks!$L$2:$L$501,"Completed"))</f>
      </c>
      <c r="S78" s="5">
        <f t="shared" si="4"/>
      </c>
      <c r="T78" s="5">
        <f>IF($A78="","",SUMIFS(Tasks!$T$2:$T$501,Tasks!$B$2:$B$501,$A78))</f>
      </c>
      <c r="U78" s="6">
        <f t="shared" si="5"/>
      </c>
    </row>
    <row r="79" ht="30" customHeight="1" spans="1:21" x14ac:dyDescent="0.25">
      <c r="A79" s="2"/>
      <c r="B79" s="3"/>
      <c r="C79" s="4"/>
      <c r="D79" s="4"/>
      <c r="E79" s="2"/>
      <c r="F79" s="4"/>
      <c r="G79" s="2"/>
      <c r="H79" s="2"/>
      <c r="I79" s="4"/>
      <c r="J79" s="4"/>
      <c r="K79" s="4"/>
      <c r="L79" s="4"/>
      <c r="M79" s="4"/>
      <c r="N79" s="4"/>
      <c r="O79" s="4"/>
      <c r="P79" s="3"/>
      <c r="Q79" s="5">
        <f>IF($A79="","",COUNTIFS(Tasks!$B$2:$B$501,$A79))</f>
      </c>
      <c r="R79" s="5">
        <f>IF($A79="","",COUNTIFS(Tasks!$B$2:$B$501,$A79,Tasks!$L$2:$L$501,"Completed"))</f>
      </c>
      <c r="S79" s="5">
        <f t="shared" si="4"/>
      </c>
      <c r="T79" s="5">
        <f>IF($A79="","",SUMIFS(Tasks!$T$2:$T$501,Tasks!$B$2:$B$501,$A79))</f>
      </c>
      <c r="U79" s="6">
        <f t="shared" si="5"/>
      </c>
    </row>
    <row r="80" ht="30" customHeight="1" spans="1:21" x14ac:dyDescent="0.25">
      <c r="A80" s="2"/>
      <c r="B80" s="3"/>
      <c r="C80" s="4"/>
      <c r="D80" s="4"/>
      <c r="E80" s="2"/>
      <c r="F80" s="4"/>
      <c r="G80" s="2"/>
      <c r="H80" s="2"/>
      <c r="I80" s="4"/>
      <c r="J80" s="4"/>
      <c r="K80" s="4"/>
      <c r="L80" s="4"/>
      <c r="M80" s="4"/>
      <c r="N80" s="4"/>
      <c r="O80" s="4"/>
      <c r="P80" s="3"/>
      <c r="Q80" s="5">
        <f>IF($A80="","",COUNTIFS(Tasks!$B$2:$B$501,$A80))</f>
      </c>
      <c r="R80" s="5">
        <f>IF($A80="","",COUNTIFS(Tasks!$B$2:$B$501,$A80,Tasks!$L$2:$L$501,"Completed"))</f>
      </c>
      <c r="S80" s="5">
        <f t="shared" si="4"/>
      </c>
      <c r="T80" s="5">
        <f>IF($A80="","",SUMIFS(Tasks!$T$2:$T$501,Tasks!$B$2:$B$501,$A80))</f>
      </c>
      <c r="U80" s="6">
        <f t="shared" si="5"/>
      </c>
    </row>
    <row r="81" ht="30" customHeight="1" spans="1:21" x14ac:dyDescent="0.25">
      <c r="A81" s="2"/>
      <c r="B81" s="3"/>
      <c r="C81" s="4"/>
      <c r="D81" s="4"/>
      <c r="E81" s="2"/>
      <c r="F81" s="4"/>
      <c r="G81" s="2"/>
      <c r="H81" s="2"/>
      <c r="I81" s="4"/>
      <c r="J81" s="4"/>
      <c r="K81" s="4"/>
      <c r="L81" s="4"/>
      <c r="M81" s="4"/>
      <c r="N81" s="4"/>
      <c r="O81" s="4"/>
      <c r="P81" s="3"/>
      <c r="Q81" s="5">
        <f>IF($A81="","",COUNTIFS(Tasks!$B$2:$B$501,$A81))</f>
      </c>
      <c r="R81" s="5">
        <f>IF($A81="","",COUNTIFS(Tasks!$B$2:$B$501,$A81,Tasks!$L$2:$L$501,"Completed"))</f>
      </c>
      <c r="S81" s="5">
        <f t="shared" si="4"/>
      </c>
      <c r="T81" s="5">
        <f>IF($A81="","",SUMIFS(Tasks!$T$2:$T$501,Tasks!$B$2:$B$501,$A81))</f>
      </c>
      <c r="U81" s="6">
        <f t="shared" si="5"/>
      </c>
    </row>
    <row r="82" ht="30" customHeight="1" spans="1:21" x14ac:dyDescent="0.25">
      <c r="A82" s="2"/>
      <c r="B82" s="3"/>
      <c r="C82" s="4"/>
      <c r="D82" s="4"/>
      <c r="E82" s="2"/>
      <c r="F82" s="4"/>
      <c r="G82" s="2"/>
      <c r="H82" s="2"/>
      <c r="I82" s="4"/>
      <c r="J82" s="4"/>
      <c r="K82" s="4"/>
      <c r="L82" s="4"/>
      <c r="M82" s="4"/>
      <c r="N82" s="4"/>
      <c r="O82" s="4"/>
      <c r="P82" s="3"/>
      <c r="Q82" s="5">
        <f>IF($A82="","",COUNTIFS(Tasks!$B$2:$B$501,$A82))</f>
      </c>
      <c r="R82" s="5">
        <f>IF($A82="","",COUNTIFS(Tasks!$B$2:$B$501,$A82,Tasks!$L$2:$L$501,"Completed"))</f>
      </c>
      <c r="S82" s="5">
        <f t="shared" si="4"/>
      </c>
      <c r="T82" s="5">
        <f>IF($A82="","",SUMIFS(Tasks!$T$2:$T$501,Tasks!$B$2:$B$501,$A82))</f>
      </c>
      <c r="U82" s="6">
        <f t="shared" si="5"/>
      </c>
    </row>
    <row r="83" ht="30" customHeight="1" spans="1:21" x14ac:dyDescent="0.25">
      <c r="A83" s="2"/>
      <c r="B83" s="3"/>
      <c r="C83" s="4"/>
      <c r="D83" s="4"/>
      <c r="E83" s="2"/>
      <c r="F83" s="4"/>
      <c r="G83" s="2"/>
      <c r="H83" s="2"/>
      <c r="I83" s="4"/>
      <c r="J83" s="4"/>
      <c r="K83" s="4"/>
      <c r="L83" s="4"/>
      <c r="M83" s="4"/>
      <c r="N83" s="4"/>
      <c r="O83" s="4"/>
      <c r="P83" s="3"/>
      <c r="Q83" s="5">
        <f>IF($A83="","",COUNTIFS(Tasks!$B$2:$B$501,$A83))</f>
      </c>
      <c r="R83" s="5">
        <f>IF($A83="","",COUNTIFS(Tasks!$B$2:$B$501,$A83,Tasks!$L$2:$L$501,"Completed"))</f>
      </c>
      <c r="S83" s="5">
        <f t="shared" si="4"/>
      </c>
      <c r="T83" s="5">
        <f>IF($A83="","",SUMIFS(Tasks!$T$2:$T$501,Tasks!$B$2:$B$501,$A83))</f>
      </c>
      <c r="U83" s="6">
        <f t="shared" si="5"/>
      </c>
    </row>
    <row r="84" ht="30" customHeight="1" spans="1:21" x14ac:dyDescent="0.25">
      <c r="A84" s="2"/>
      <c r="B84" s="3"/>
      <c r="C84" s="4"/>
      <c r="D84" s="4"/>
      <c r="E84" s="2"/>
      <c r="F84" s="4"/>
      <c r="G84" s="2"/>
      <c r="H84" s="2"/>
      <c r="I84" s="4"/>
      <c r="J84" s="4"/>
      <c r="K84" s="4"/>
      <c r="L84" s="4"/>
      <c r="M84" s="4"/>
      <c r="N84" s="4"/>
      <c r="O84" s="4"/>
      <c r="P84" s="3"/>
      <c r="Q84" s="5">
        <f>IF($A84="","",COUNTIFS(Tasks!$B$2:$B$501,$A84))</f>
      </c>
      <c r="R84" s="5">
        <f>IF($A84="","",COUNTIFS(Tasks!$B$2:$B$501,$A84,Tasks!$L$2:$L$501,"Completed"))</f>
      </c>
      <c r="S84" s="5">
        <f t="shared" si="4"/>
      </c>
      <c r="T84" s="5">
        <f>IF($A84="","",SUMIFS(Tasks!$T$2:$T$501,Tasks!$B$2:$B$501,$A84))</f>
      </c>
      <c r="U84" s="6">
        <f t="shared" si="5"/>
      </c>
    </row>
    <row r="85" ht="30" customHeight="1" spans="1:21" x14ac:dyDescent="0.25">
      <c r="A85" s="2"/>
      <c r="B85" s="3"/>
      <c r="C85" s="4"/>
      <c r="D85" s="4"/>
      <c r="E85" s="2"/>
      <c r="F85" s="4"/>
      <c r="G85" s="2"/>
      <c r="H85" s="2"/>
      <c r="I85" s="4"/>
      <c r="J85" s="4"/>
      <c r="K85" s="4"/>
      <c r="L85" s="4"/>
      <c r="M85" s="4"/>
      <c r="N85" s="4"/>
      <c r="O85" s="4"/>
      <c r="P85" s="3"/>
      <c r="Q85" s="5">
        <f>IF($A85="","",COUNTIFS(Tasks!$B$2:$B$501,$A85))</f>
      </c>
      <c r="R85" s="5">
        <f>IF($A85="","",COUNTIFS(Tasks!$B$2:$B$501,$A85,Tasks!$L$2:$L$501,"Completed"))</f>
      </c>
      <c r="S85" s="5">
        <f t="shared" si="4"/>
      </c>
      <c r="T85" s="5">
        <f>IF($A85="","",SUMIFS(Tasks!$T$2:$T$501,Tasks!$B$2:$B$501,$A85))</f>
      </c>
      <c r="U85" s="6">
        <f t="shared" si="5"/>
      </c>
    </row>
    <row r="86" ht="30" customHeight="1" spans="1:21" x14ac:dyDescent="0.25">
      <c r="A86" s="2"/>
      <c r="B86" s="3"/>
      <c r="C86" s="4"/>
      <c r="D86" s="4"/>
      <c r="E86" s="2"/>
      <c r="F86" s="4"/>
      <c r="G86" s="2"/>
      <c r="H86" s="2"/>
      <c r="I86" s="4"/>
      <c r="J86" s="4"/>
      <c r="K86" s="4"/>
      <c r="L86" s="4"/>
      <c r="M86" s="4"/>
      <c r="N86" s="4"/>
      <c r="O86" s="4"/>
      <c r="P86" s="3"/>
      <c r="Q86" s="5">
        <f>IF($A86="","",COUNTIFS(Tasks!$B$2:$B$501,$A86))</f>
      </c>
      <c r="R86" s="5">
        <f>IF($A86="","",COUNTIFS(Tasks!$B$2:$B$501,$A86,Tasks!$L$2:$L$501,"Completed"))</f>
      </c>
      <c r="S86" s="5">
        <f t="shared" si="4"/>
      </c>
      <c r="T86" s="5">
        <f>IF($A86="","",SUMIFS(Tasks!$T$2:$T$501,Tasks!$B$2:$B$501,$A86))</f>
      </c>
      <c r="U86" s="6">
        <f t="shared" si="5"/>
      </c>
    </row>
    <row r="87" ht="30" customHeight="1" spans="1:21" x14ac:dyDescent="0.25">
      <c r="A87" s="2"/>
      <c r="B87" s="3"/>
      <c r="C87" s="4"/>
      <c r="D87" s="4"/>
      <c r="E87" s="2"/>
      <c r="F87" s="4"/>
      <c r="G87" s="2"/>
      <c r="H87" s="2"/>
      <c r="I87" s="4"/>
      <c r="J87" s="4"/>
      <c r="K87" s="4"/>
      <c r="L87" s="4"/>
      <c r="M87" s="4"/>
      <c r="N87" s="4"/>
      <c r="O87" s="4"/>
      <c r="P87" s="3"/>
      <c r="Q87" s="5">
        <f>IF($A87="","",COUNTIFS(Tasks!$B$2:$B$501,$A87))</f>
      </c>
      <c r="R87" s="5">
        <f>IF($A87="","",COUNTIFS(Tasks!$B$2:$B$501,$A87,Tasks!$L$2:$L$501,"Completed"))</f>
      </c>
      <c r="S87" s="5">
        <f t="shared" si="4"/>
      </c>
      <c r="T87" s="5">
        <f>IF($A87="","",SUMIFS(Tasks!$T$2:$T$501,Tasks!$B$2:$B$501,$A87))</f>
      </c>
      <c r="U87" s="6">
        <f t="shared" si="5"/>
      </c>
    </row>
    <row r="88" ht="30" customHeight="1" spans="1:21" x14ac:dyDescent="0.25">
      <c r="A88" s="2"/>
      <c r="B88" s="3"/>
      <c r="C88" s="4"/>
      <c r="D88" s="4"/>
      <c r="E88" s="2"/>
      <c r="F88" s="4"/>
      <c r="G88" s="2"/>
      <c r="H88" s="2"/>
      <c r="I88" s="4"/>
      <c r="J88" s="4"/>
      <c r="K88" s="4"/>
      <c r="L88" s="4"/>
      <c r="M88" s="4"/>
      <c r="N88" s="4"/>
      <c r="O88" s="4"/>
      <c r="P88" s="3"/>
      <c r="Q88" s="5">
        <f>IF($A88="","",COUNTIFS(Tasks!$B$2:$B$501,$A88))</f>
      </c>
      <c r="R88" s="5">
        <f>IF($A88="","",COUNTIFS(Tasks!$B$2:$B$501,$A88,Tasks!$L$2:$L$501,"Completed"))</f>
      </c>
      <c r="S88" s="5">
        <f t="shared" si="4"/>
      </c>
      <c r="T88" s="5">
        <f>IF($A88="","",SUMIFS(Tasks!$T$2:$T$501,Tasks!$B$2:$B$501,$A88))</f>
      </c>
      <c r="U88" s="6">
        <f t="shared" si="5"/>
      </c>
    </row>
    <row r="89" ht="30" customHeight="1" spans="1:21" x14ac:dyDescent="0.25">
      <c r="A89" s="2"/>
      <c r="B89" s="3"/>
      <c r="C89" s="4"/>
      <c r="D89" s="4"/>
      <c r="E89" s="2"/>
      <c r="F89" s="4"/>
      <c r="G89" s="2"/>
      <c r="H89" s="2"/>
      <c r="I89" s="4"/>
      <c r="J89" s="4"/>
      <c r="K89" s="4"/>
      <c r="L89" s="4"/>
      <c r="M89" s="4"/>
      <c r="N89" s="4"/>
      <c r="O89" s="4"/>
      <c r="P89" s="3"/>
      <c r="Q89" s="5">
        <f>IF($A89="","",COUNTIFS(Tasks!$B$2:$B$501,$A89))</f>
      </c>
      <c r="R89" s="5">
        <f>IF($A89="","",COUNTIFS(Tasks!$B$2:$B$501,$A89,Tasks!$L$2:$L$501,"Completed"))</f>
      </c>
      <c r="S89" s="5">
        <f t="shared" si="4"/>
      </c>
      <c r="T89" s="5">
        <f>IF($A89="","",SUMIFS(Tasks!$T$2:$T$501,Tasks!$B$2:$B$501,$A89))</f>
      </c>
      <c r="U89" s="6">
        <f t="shared" si="5"/>
      </c>
    </row>
    <row r="90" ht="30" customHeight="1" spans="1:21" x14ac:dyDescent="0.25">
      <c r="A90" s="2"/>
      <c r="B90" s="3"/>
      <c r="C90" s="4"/>
      <c r="D90" s="4"/>
      <c r="E90" s="2"/>
      <c r="F90" s="4"/>
      <c r="G90" s="2"/>
      <c r="H90" s="2"/>
      <c r="I90" s="4"/>
      <c r="J90" s="4"/>
      <c r="K90" s="4"/>
      <c r="L90" s="4"/>
      <c r="M90" s="4"/>
      <c r="N90" s="4"/>
      <c r="O90" s="4"/>
      <c r="P90" s="3"/>
      <c r="Q90" s="5">
        <f>IF($A90="","",COUNTIFS(Tasks!$B$2:$B$501,$A90))</f>
      </c>
      <c r="R90" s="5">
        <f>IF($A90="","",COUNTIFS(Tasks!$B$2:$B$501,$A90,Tasks!$L$2:$L$501,"Completed"))</f>
      </c>
      <c r="S90" s="5">
        <f t="shared" si="4"/>
      </c>
      <c r="T90" s="5">
        <f>IF($A90="","",SUMIFS(Tasks!$T$2:$T$501,Tasks!$B$2:$B$501,$A90))</f>
      </c>
      <c r="U90" s="6">
        <f t="shared" si="5"/>
      </c>
    </row>
    <row r="91" ht="30" customHeight="1" spans="1:21" x14ac:dyDescent="0.25">
      <c r="A91" s="2"/>
      <c r="B91" s="3"/>
      <c r="C91" s="4"/>
      <c r="D91" s="4"/>
      <c r="E91" s="2"/>
      <c r="F91" s="4"/>
      <c r="G91" s="2"/>
      <c r="H91" s="2"/>
      <c r="I91" s="4"/>
      <c r="J91" s="4"/>
      <c r="K91" s="4"/>
      <c r="L91" s="4"/>
      <c r="M91" s="4"/>
      <c r="N91" s="4"/>
      <c r="O91" s="4"/>
      <c r="P91" s="3"/>
      <c r="Q91" s="5">
        <f>IF($A91="","",COUNTIFS(Tasks!$B$2:$B$501,$A91))</f>
      </c>
      <c r="R91" s="5">
        <f>IF($A91="","",COUNTIFS(Tasks!$B$2:$B$501,$A91,Tasks!$L$2:$L$501,"Completed"))</f>
      </c>
      <c r="S91" s="5">
        <f t="shared" si="4"/>
      </c>
      <c r="T91" s="5">
        <f>IF($A91="","",SUMIFS(Tasks!$T$2:$T$501,Tasks!$B$2:$B$501,$A91))</f>
      </c>
      <c r="U91" s="6">
        <f t="shared" si="5"/>
      </c>
    </row>
    <row r="92" ht="30" customHeight="1" spans="1:21" x14ac:dyDescent="0.25">
      <c r="A92" s="2"/>
      <c r="B92" s="3"/>
      <c r="C92" s="4"/>
      <c r="D92" s="4"/>
      <c r="E92" s="2"/>
      <c r="F92" s="4"/>
      <c r="G92" s="2"/>
      <c r="H92" s="2"/>
      <c r="I92" s="4"/>
      <c r="J92" s="4"/>
      <c r="K92" s="4"/>
      <c r="L92" s="4"/>
      <c r="M92" s="4"/>
      <c r="N92" s="4"/>
      <c r="O92" s="4"/>
      <c r="P92" s="3"/>
      <c r="Q92" s="5">
        <f>IF($A92="","",COUNTIFS(Tasks!$B$2:$B$501,$A92))</f>
      </c>
      <c r="R92" s="5">
        <f>IF($A92="","",COUNTIFS(Tasks!$B$2:$B$501,$A92,Tasks!$L$2:$L$501,"Completed"))</f>
      </c>
      <c r="S92" s="5">
        <f t="shared" si="4"/>
      </c>
      <c r="T92" s="5">
        <f>IF($A92="","",SUMIFS(Tasks!$T$2:$T$501,Tasks!$B$2:$B$501,$A92))</f>
      </c>
      <c r="U92" s="6">
        <f t="shared" si="5"/>
      </c>
    </row>
    <row r="93" ht="30" customHeight="1" spans="1:21" x14ac:dyDescent="0.25">
      <c r="A93" s="2"/>
      <c r="B93" s="3"/>
      <c r="C93" s="4"/>
      <c r="D93" s="4"/>
      <c r="E93" s="2"/>
      <c r="F93" s="4"/>
      <c r="G93" s="2"/>
      <c r="H93" s="2"/>
      <c r="I93" s="4"/>
      <c r="J93" s="4"/>
      <c r="K93" s="4"/>
      <c r="L93" s="4"/>
      <c r="M93" s="4"/>
      <c r="N93" s="4"/>
      <c r="O93" s="4"/>
      <c r="P93" s="3"/>
      <c r="Q93" s="5">
        <f>IF($A93="","",COUNTIFS(Tasks!$B$2:$B$501,$A93))</f>
      </c>
      <c r="R93" s="5">
        <f>IF($A93="","",COUNTIFS(Tasks!$B$2:$B$501,$A93,Tasks!$L$2:$L$501,"Completed"))</f>
      </c>
      <c r="S93" s="5">
        <f t="shared" si="4"/>
      </c>
      <c r="T93" s="5">
        <f>IF($A93="","",SUMIFS(Tasks!$T$2:$T$501,Tasks!$B$2:$B$501,$A93))</f>
      </c>
      <c r="U93" s="6">
        <f t="shared" si="5"/>
      </c>
    </row>
    <row r="94" ht="30" customHeight="1" spans="1:21" x14ac:dyDescent="0.25">
      <c r="A94" s="2"/>
      <c r="B94" s="3"/>
      <c r="C94" s="4"/>
      <c r="D94" s="4"/>
      <c r="E94" s="2"/>
      <c r="F94" s="4"/>
      <c r="G94" s="2"/>
      <c r="H94" s="2"/>
      <c r="I94" s="4"/>
      <c r="J94" s="4"/>
      <c r="K94" s="4"/>
      <c r="L94" s="4"/>
      <c r="M94" s="4"/>
      <c r="N94" s="4"/>
      <c r="O94" s="4"/>
      <c r="P94" s="3"/>
      <c r="Q94" s="5">
        <f>IF($A94="","",COUNTIFS(Tasks!$B$2:$B$501,$A94))</f>
      </c>
      <c r="R94" s="5">
        <f>IF($A94="","",COUNTIFS(Tasks!$B$2:$B$501,$A94,Tasks!$L$2:$L$501,"Completed"))</f>
      </c>
      <c r="S94" s="5">
        <f t="shared" si="4"/>
      </c>
      <c r="T94" s="5">
        <f>IF($A94="","",SUMIFS(Tasks!$T$2:$T$501,Tasks!$B$2:$B$501,$A94))</f>
      </c>
      <c r="U94" s="6">
        <f t="shared" si="5"/>
      </c>
    </row>
    <row r="95" ht="30" customHeight="1" spans="1:21" x14ac:dyDescent="0.25">
      <c r="A95" s="2"/>
      <c r="B95" s="3"/>
      <c r="C95" s="4"/>
      <c r="D95" s="4"/>
      <c r="E95" s="2"/>
      <c r="F95" s="4"/>
      <c r="G95" s="2"/>
      <c r="H95" s="2"/>
      <c r="I95" s="4"/>
      <c r="J95" s="4"/>
      <c r="K95" s="4"/>
      <c r="L95" s="4"/>
      <c r="M95" s="4"/>
      <c r="N95" s="4"/>
      <c r="O95" s="4"/>
      <c r="P95" s="3"/>
      <c r="Q95" s="5">
        <f>IF($A95="","",COUNTIFS(Tasks!$B$2:$B$501,$A95))</f>
      </c>
      <c r="R95" s="5">
        <f>IF($A95="","",COUNTIFS(Tasks!$B$2:$B$501,$A95,Tasks!$L$2:$L$501,"Completed"))</f>
      </c>
      <c r="S95" s="5">
        <f t="shared" si="4"/>
      </c>
      <c r="T95" s="5">
        <f>IF($A95="","",SUMIFS(Tasks!$T$2:$T$501,Tasks!$B$2:$B$501,$A95))</f>
      </c>
      <c r="U95" s="6">
        <f t="shared" si="5"/>
      </c>
    </row>
    <row r="96" ht="30" customHeight="1" spans="1:21" x14ac:dyDescent="0.25">
      <c r="A96" s="2"/>
      <c r="B96" s="3"/>
      <c r="C96" s="4"/>
      <c r="D96" s="4"/>
      <c r="E96" s="2"/>
      <c r="F96" s="4"/>
      <c r="G96" s="2"/>
      <c r="H96" s="2"/>
      <c r="I96" s="4"/>
      <c r="J96" s="4"/>
      <c r="K96" s="4"/>
      <c r="L96" s="4"/>
      <c r="M96" s="4"/>
      <c r="N96" s="4"/>
      <c r="O96" s="4"/>
      <c r="P96" s="3"/>
      <c r="Q96" s="5">
        <f>IF($A96="","",COUNTIFS(Tasks!$B$2:$B$501,$A96))</f>
      </c>
      <c r="R96" s="5">
        <f>IF($A96="","",COUNTIFS(Tasks!$B$2:$B$501,$A96,Tasks!$L$2:$L$501,"Completed"))</f>
      </c>
      <c r="S96" s="5">
        <f t="shared" si="4"/>
      </c>
      <c r="T96" s="5">
        <f>IF($A96="","",SUMIFS(Tasks!$T$2:$T$501,Tasks!$B$2:$B$501,$A96))</f>
      </c>
      <c r="U96" s="6">
        <f t="shared" si="5"/>
      </c>
    </row>
    <row r="97" ht="30" customHeight="1" spans="1:21" x14ac:dyDescent="0.25">
      <c r="A97" s="2"/>
      <c r="B97" s="3"/>
      <c r="C97" s="4"/>
      <c r="D97" s="4"/>
      <c r="E97" s="2"/>
      <c r="F97" s="4"/>
      <c r="G97" s="2"/>
      <c r="H97" s="2"/>
      <c r="I97" s="4"/>
      <c r="J97" s="4"/>
      <c r="K97" s="4"/>
      <c r="L97" s="4"/>
      <c r="M97" s="4"/>
      <c r="N97" s="4"/>
      <c r="O97" s="4"/>
      <c r="P97" s="3"/>
      <c r="Q97" s="5">
        <f>IF($A97="","",COUNTIFS(Tasks!$B$2:$B$501,$A97))</f>
      </c>
      <c r="R97" s="5">
        <f>IF($A97="","",COUNTIFS(Tasks!$B$2:$B$501,$A97,Tasks!$L$2:$L$501,"Completed"))</f>
      </c>
      <c r="S97" s="5">
        <f t="shared" si="4"/>
      </c>
      <c r="T97" s="5">
        <f>IF($A97="","",SUMIFS(Tasks!$T$2:$T$501,Tasks!$B$2:$B$501,$A97))</f>
      </c>
      <c r="U97" s="6">
        <f t="shared" si="5"/>
      </c>
    </row>
    <row r="98" ht="30" customHeight="1" spans="1:21" x14ac:dyDescent="0.25">
      <c r="A98" s="2"/>
      <c r="B98" s="3"/>
      <c r="C98" s="4"/>
      <c r="D98" s="4"/>
      <c r="E98" s="2"/>
      <c r="F98" s="4"/>
      <c r="G98" s="2"/>
      <c r="H98" s="2"/>
      <c r="I98" s="4"/>
      <c r="J98" s="4"/>
      <c r="K98" s="4"/>
      <c r="L98" s="4"/>
      <c r="M98" s="4"/>
      <c r="N98" s="4"/>
      <c r="O98" s="4"/>
      <c r="P98" s="3"/>
      <c r="Q98" s="5">
        <f>IF($A98="","",COUNTIFS(Tasks!$B$2:$B$501,$A98))</f>
      </c>
      <c r="R98" s="5">
        <f>IF($A98="","",COUNTIFS(Tasks!$B$2:$B$501,$A98,Tasks!$L$2:$L$501,"Completed"))</f>
      </c>
      <c r="S98" s="5">
        <f t="shared" ref="S98:S129" si="6">IF($A98="","",$Q98-$R98)</f>
      </c>
      <c r="T98" s="5">
        <f>IF($A98="","",SUMIFS(Tasks!$T$2:$T$501,Tasks!$B$2:$B$501,$A98))</f>
      </c>
      <c r="U98" s="6">
        <f t="shared" ref="U98:U129" si="7">IF($A98="","",IF($Q98=0,"",$R98/$Q98))</f>
      </c>
    </row>
    <row r="99" ht="30" customHeight="1" spans="1:21" x14ac:dyDescent="0.25">
      <c r="A99" s="2"/>
      <c r="B99" s="3"/>
      <c r="C99" s="4"/>
      <c r="D99" s="4"/>
      <c r="E99" s="2"/>
      <c r="F99" s="4"/>
      <c r="G99" s="2"/>
      <c r="H99" s="2"/>
      <c r="I99" s="4"/>
      <c r="J99" s="4"/>
      <c r="K99" s="4"/>
      <c r="L99" s="4"/>
      <c r="M99" s="4"/>
      <c r="N99" s="4"/>
      <c r="O99" s="4"/>
      <c r="P99" s="3"/>
      <c r="Q99" s="5">
        <f>IF($A99="","",COUNTIFS(Tasks!$B$2:$B$501,$A99))</f>
      </c>
      <c r="R99" s="5">
        <f>IF($A99="","",COUNTIFS(Tasks!$B$2:$B$501,$A99,Tasks!$L$2:$L$501,"Completed"))</f>
      </c>
      <c r="S99" s="5">
        <f t="shared" si="6"/>
      </c>
      <c r="T99" s="5">
        <f>IF($A99="","",SUMIFS(Tasks!$T$2:$T$501,Tasks!$B$2:$B$501,$A99))</f>
      </c>
      <c r="U99" s="6">
        <f t="shared" si="7"/>
      </c>
    </row>
    <row r="100" ht="30" customHeight="1" spans="1:21" x14ac:dyDescent="0.25">
      <c r="A100" s="2"/>
      <c r="B100" s="3"/>
      <c r="C100" s="4"/>
      <c r="D100" s="4"/>
      <c r="E100" s="2"/>
      <c r="F100" s="4"/>
      <c r="G100" s="2"/>
      <c r="H100" s="2"/>
      <c r="I100" s="4"/>
      <c r="J100" s="4"/>
      <c r="K100" s="4"/>
      <c r="L100" s="4"/>
      <c r="M100" s="4"/>
      <c r="N100" s="4"/>
      <c r="O100" s="4"/>
      <c r="P100" s="3"/>
      <c r="Q100" s="5">
        <f>IF($A100="","",COUNTIFS(Tasks!$B$2:$B$501,$A100))</f>
      </c>
      <c r="R100" s="5">
        <f>IF($A100="","",COUNTIFS(Tasks!$B$2:$B$501,$A100,Tasks!$L$2:$L$501,"Completed"))</f>
      </c>
      <c r="S100" s="5">
        <f t="shared" si="6"/>
      </c>
      <c r="T100" s="5">
        <f>IF($A100="","",SUMIFS(Tasks!$T$2:$T$501,Tasks!$B$2:$B$501,$A100))</f>
      </c>
      <c r="U100" s="6">
        <f t="shared" si="7"/>
      </c>
    </row>
    <row r="101" ht="30" customHeight="1" spans="1:21" x14ac:dyDescent="0.25">
      <c r="A101" s="2"/>
      <c r="B101" s="3"/>
      <c r="C101" s="4"/>
      <c r="D101" s="4"/>
      <c r="E101" s="2"/>
      <c r="F101" s="4"/>
      <c r="G101" s="2"/>
      <c r="H101" s="2"/>
      <c r="I101" s="4"/>
      <c r="J101" s="4"/>
      <c r="K101" s="4"/>
      <c r="L101" s="4"/>
      <c r="M101" s="4"/>
      <c r="N101" s="4"/>
      <c r="O101" s="4"/>
      <c r="P101" s="3"/>
      <c r="Q101" s="5">
        <f>IF($A101="","",COUNTIFS(Tasks!$B$2:$B$501,$A101))</f>
      </c>
      <c r="R101" s="5">
        <f>IF($A101="","",COUNTIFS(Tasks!$B$2:$B$501,$A101,Tasks!$L$2:$L$501,"Completed"))</f>
      </c>
      <c r="S101" s="5">
        <f t="shared" si="6"/>
      </c>
      <c r="T101" s="5">
        <f>IF($A101="","",SUMIFS(Tasks!$T$2:$T$501,Tasks!$B$2:$B$501,$A101))</f>
      </c>
      <c r="U101" s="6">
        <f t="shared" si="7"/>
      </c>
    </row>
    <row r="102" ht="30" customHeight="1" spans="1:21" x14ac:dyDescent="0.25">
      <c r="A102" s="2"/>
      <c r="B102" s="3"/>
      <c r="C102" s="4"/>
      <c r="D102" s="4"/>
      <c r="E102" s="2"/>
      <c r="F102" s="4"/>
      <c r="G102" s="2"/>
      <c r="H102" s="2"/>
      <c r="I102" s="4"/>
      <c r="J102" s="4"/>
      <c r="K102" s="4"/>
      <c r="L102" s="4"/>
      <c r="M102" s="4"/>
      <c r="N102" s="4"/>
      <c r="O102" s="4"/>
      <c r="P102" s="3"/>
      <c r="Q102" s="5">
        <f>IF($A102="","",COUNTIFS(Tasks!$B$2:$B$501,$A102))</f>
      </c>
      <c r="R102" s="5">
        <f>IF($A102="","",COUNTIFS(Tasks!$B$2:$B$501,$A102,Tasks!$L$2:$L$501,"Completed"))</f>
      </c>
      <c r="S102" s="5">
        <f t="shared" si="6"/>
      </c>
      <c r="T102" s="5">
        <f>IF($A102="","",SUMIFS(Tasks!$T$2:$T$501,Tasks!$B$2:$B$501,$A102))</f>
      </c>
      <c r="U102" s="6">
        <f t="shared" si="7"/>
      </c>
    </row>
    <row r="103" ht="30" customHeight="1" spans="1:21" x14ac:dyDescent="0.25">
      <c r="A103" s="2"/>
      <c r="B103" s="3"/>
      <c r="C103" s="4"/>
      <c r="D103" s="4"/>
      <c r="E103" s="2"/>
      <c r="F103" s="4"/>
      <c r="G103" s="2"/>
      <c r="H103" s="2"/>
      <c r="I103" s="4"/>
      <c r="J103" s="4"/>
      <c r="K103" s="4"/>
      <c r="L103" s="4"/>
      <c r="M103" s="4"/>
      <c r="N103" s="4"/>
      <c r="O103" s="4"/>
      <c r="P103" s="3"/>
      <c r="Q103" s="5">
        <f>IF($A103="","",COUNTIFS(Tasks!$B$2:$B$501,$A103))</f>
      </c>
      <c r="R103" s="5">
        <f>IF($A103="","",COUNTIFS(Tasks!$B$2:$B$501,$A103,Tasks!$L$2:$L$501,"Completed"))</f>
      </c>
      <c r="S103" s="5">
        <f t="shared" si="6"/>
      </c>
      <c r="T103" s="5">
        <f>IF($A103="","",SUMIFS(Tasks!$T$2:$T$501,Tasks!$B$2:$B$501,$A103))</f>
      </c>
      <c r="U103" s="6">
        <f t="shared" si="7"/>
      </c>
    </row>
    <row r="104" ht="30" customHeight="1" spans="1:21" x14ac:dyDescent="0.25">
      <c r="A104" s="2"/>
      <c r="B104" s="3"/>
      <c r="C104" s="4"/>
      <c r="D104" s="4"/>
      <c r="E104" s="2"/>
      <c r="F104" s="4"/>
      <c r="G104" s="2"/>
      <c r="H104" s="2"/>
      <c r="I104" s="4"/>
      <c r="J104" s="4"/>
      <c r="K104" s="4"/>
      <c r="L104" s="4"/>
      <c r="M104" s="4"/>
      <c r="N104" s="4"/>
      <c r="O104" s="4"/>
      <c r="P104" s="3"/>
      <c r="Q104" s="5">
        <f>IF($A104="","",COUNTIFS(Tasks!$B$2:$B$501,$A104))</f>
      </c>
      <c r="R104" s="5">
        <f>IF($A104="","",COUNTIFS(Tasks!$B$2:$B$501,$A104,Tasks!$L$2:$L$501,"Completed"))</f>
      </c>
      <c r="S104" s="5">
        <f t="shared" si="6"/>
      </c>
      <c r="T104" s="5">
        <f>IF($A104="","",SUMIFS(Tasks!$T$2:$T$501,Tasks!$B$2:$B$501,$A104))</f>
      </c>
      <c r="U104" s="6">
        <f t="shared" si="7"/>
      </c>
    </row>
    <row r="105" ht="30" customHeight="1" spans="1:21" x14ac:dyDescent="0.25">
      <c r="A105" s="2"/>
      <c r="B105" s="3"/>
      <c r="C105" s="4"/>
      <c r="D105" s="4"/>
      <c r="E105" s="2"/>
      <c r="F105" s="4"/>
      <c r="G105" s="2"/>
      <c r="H105" s="2"/>
      <c r="I105" s="4"/>
      <c r="J105" s="4"/>
      <c r="K105" s="4"/>
      <c r="L105" s="4"/>
      <c r="M105" s="4"/>
      <c r="N105" s="4"/>
      <c r="O105" s="4"/>
      <c r="P105" s="3"/>
      <c r="Q105" s="5">
        <f>IF($A105="","",COUNTIFS(Tasks!$B$2:$B$501,$A105))</f>
      </c>
      <c r="R105" s="5">
        <f>IF($A105="","",COUNTIFS(Tasks!$B$2:$B$501,$A105,Tasks!$L$2:$L$501,"Completed"))</f>
      </c>
      <c r="S105" s="5">
        <f t="shared" si="6"/>
      </c>
      <c r="T105" s="5">
        <f>IF($A105="","",SUMIFS(Tasks!$T$2:$T$501,Tasks!$B$2:$B$501,$A105))</f>
      </c>
      <c r="U105" s="6">
        <f t="shared" si="7"/>
      </c>
    </row>
    <row r="106" ht="30" customHeight="1" spans="1:21" x14ac:dyDescent="0.25">
      <c r="A106" s="2"/>
      <c r="B106" s="3"/>
      <c r="C106" s="4"/>
      <c r="D106" s="4"/>
      <c r="E106" s="2"/>
      <c r="F106" s="4"/>
      <c r="G106" s="2"/>
      <c r="H106" s="2"/>
      <c r="I106" s="4"/>
      <c r="J106" s="4"/>
      <c r="K106" s="4"/>
      <c r="L106" s="4"/>
      <c r="M106" s="4"/>
      <c r="N106" s="4"/>
      <c r="O106" s="4"/>
      <c r="P106" s="3"/>
      <c r="Q106" s="5">
        <f>IF($A106="","",COUNTIFS(Tasks!$B$2:$B$501,$A106))</f>
      </c>
      <c r="R106" s="5">
        <f>IF($A106="","",COUNTIFS(Tasks!$B$2:$B$501,$A106,Tasks!$L$2:$L$501,"Completed"))</f>
      </c>
      <c r="S106" s="5">
        <f t="shared" si="6"/>
      </c>
      <c r="T106" s="5">
        <f>IF($A106="","",SUMIFS(Tasks!$T$2:$T$501,Tasks!$B$2:$B$501,$A106))</f>
      </c>
      <c r="U106" s="6">
        <f t="shared" si="7"/>
      </c>
    </row>
    <row r="107" ht="30" customHeight="1" spans="1:21" x14ac:dyDescent="0.25">
      <c r="A107" s="2"/>
      <c r="B107" s="3"/>
      <c r="C107" s="4"/>
      <c r="D107" s="4"/>
      <c r="E107" s="2"/>
      <c r="F107" s="4"/>
      <c r="G107" s="2"/>
      <c r="H107" s="2"/>
      <c r="I107" s="4"/>
      <c r="J107" s="4"/>
      <c r="K107" s="4"/>
      <c r="L107" s="4"/>
      <c r="M107" s="4"/>
      <c r="N107" s="4"/>
      <c r="O107" s="4"/>
      <c r="P107" s="3"/>
      <c r="Q107" s="5">
        <f>IF($A107="","",COUNTIFS(Tasks!$B$2:$B$501,$A107))</f>
      </c>
      <c r="R107" s="5">
        <f>IF($A107="","",COUNTIFS(Tasks!$B$2:$B$501,$A107,Tasks!$L$2:$L$501,"Completed"))</f>
      </c>
      <c r="S107" s="5">
        <f t="shared" si="6"/>
      </c>
      <c r="T107" s="5">
        <f>IF($A107="","",SUMIFS(Tasks!$T$2:$T$501,Tasks!$B$2:$B$501,$A107))</f>
      </c>
      <c r="U107" s="6">
        <f t="shared" si="7"/>
      </c>
    </row>
    <row r="108" ht="30" customHeight="1" spans="1:21" x14ac:dyDescent="0.25">
      <c r="A108" s="2"/>
      <c r="B108" s="3"/>
      <c r="C108" s="4"/>
      <c r="D108" s="4"/>
      <c r="E108" s="2"/>
      <c r="F108" s="4"/>
      <c r="G108" s="2"/>
      <c r="H108" s="2"/>
      <c r="I108" s="4"/>
      <c r="J108" s="4"/>
      <c r="K108" s="4"/>
      <c r="L108" s="4"/>
      <c r="M108" s="4"/>
      <c r="N108" s="4"/>
      <c r="O108" s="4"/>
      <c r="P108" s="3"/>
      <c r="Q108" s="5">
        <f>IF($A108="","",COUNTIFS(Tasks!$B$2:$B$501,$A108))</f>
      </c>
      <c r="R108" s="5">
        <f>IF($A108="","",COUNTIFS(Tasks!$B$2:$B$501,$A108,Tasks!$L$2:$L$501,"Completed"))</f>
      </c>
      <c r="S108" s="5">
        <f t="shared" si="6"/>
      </c>
      <c r="T108" s="5">
        <f>IF($A108="","",SUMIFS(Tasks!$T$2:$T$501,Tasks!$B$2:$B$501,$A108))</f>
      </c>
      <c r="U108" s="6">
        <f t="shared" si="7"/>
      </c>
    </row>
    <row r="109" ht="30" customHeight="1" spans="1:21" x14ac:dyDescent="0.25">
      <c r="A109" s="2"/>
      <c r="B109" s="3"/>
      <c r="C109" s="4"/>
      <c r="D109" s="4"/>
      <c r="E109" s="2"/>
      <c r="F109" s="4"/>
      <c r="G109" s="2"/>
      <c r="H109" s="2"/>
      <c r="I109" s="4"/>
      <c r="J109" s="4"/>
      <c r="K109" s="4"/>
      <c r="L109" s="4"/>
      <c r="M109" s="4"/>
      <c r="N109" s="4"/>
      <c r="O109" s="4"/>
      <c r="P109" s="3"/>
      <c r="Q109" s="5">
        <f>IF($A109="","",COUNTIFS(Tasks!$B$2:$B$501,$A109))</f>
      </c>
      <c r="R109" s="5">
        <f>IF($A109="","",COUNTIFS(Tasks!$B$2:$B$501,$A109,Tasks!$L$2:$L$501,"Completed"))</f>
      </c>
      <c r="S109" s="5">
        <f t="shared" si="6"/>
      </c>
      <c r="T109" s="5">
        <f>IF($A109="","",SUMIFS(Tasks!$T$2:$T$501,Tasks!$B$2:$B$501,$A109))</f>
      </c>
      <c r="U109" s="6">
        <f t="shared" si="7"/>
      </c>
    </row>
    <row r="110" ht="30" customHeight="1" spans="1:21" x14ac:dyDescent="0.25">
      <c r="A110" s="2"/>
      <c r="B110" s="3"/>
      <c r="C110" s="4"/>
      <c r="D110" s="4"/>
      <c r="E110" s="2"/>
      <c r="F110" s="4"/>
      <c r="G110" s="2"/>
      <c r="H110" s="2"/>
      <c r="I110" s="4"/>
      <c r="J110" s="4"/>
      <c r="K110" s="4"/>
      <c r="L110" s="4"/>
      <c r="M110" s="4"/>
      <c r="N110" s="4"/>
      <c r="O110" s="4"/>
      <c r="P110" s="3"/>
      <c r="Q110" s="5">
        <f>IF($A110="","",COUNTIFS(Tasks!$B$2:$B$501,$A110))</f>
      </c>
      <c r="R110" s="5">
        <f>IF($A110="","",COUNTIFS(Tasks!$B$2:$B$501,$A110,Tasks!$L$2:$L$501,"Completed"))</f>
      </c>
      <c r="S110" s="5">
        <f t="shared" si="6"/>
      </c>
      <c r="T110" s="5">
        <f>IF($A110="","",SUMIFS(Tasks!$T$2:$T$501,Tasks!$B$2:$B$501,$A110))</f>
      </c>
      <c r="U110" s="6">
        <f t="shared" si="7"/>
      </c>
    </row>
    <row r="111" ht="30" customHeight="1" spans="1:21" x14ac:dyDescent="0.25">
      <c r="A111" s="2"/>
      <c r="B111" s="3"/>
      <c r="C111" s="4"/>
      <c r="D111" s="4"/>
      <c r="E111" s="2"/>
      <c r="F111" s="4"/>
      <c r="G111" s="2"/>
      <c r="H111" s="2"/>
      <c r="I111" s="4"/>
      <c r="J111" s="4"/>
      <c r="K111" s="4"/>
      <c r="L111" s="4"/>
      <c r="M111" s="4"/>
      <c r="N111" s="4"/>
      <c r="O111" s="4"/>
      <c r="P111" s="3"/>
      <c r="Q111" s="5">
        <f>IF($A111="","",COUNTIFS(Tasks!$B$2:$B$501,$A111))</f>
      </c>
      <c r="R111" s="5">
        <f>IF($A111="","",COUNTIFS(Tasks!$B$2:$B$501,$A111,Tasks!$L$2:$L$501,"Completed"))</f>
      </c>
      <c r="S111" s="5">
        <f t="shared" si="6"/>
      </c>
      <c r="T111" s="5">
        <f>IF($A111="","",SUMIFS(Tasks!$T$2:$T$501,Tasks!$B$2:$B$501,$A111))</f>
      </c>
      <c r="U111" s="6">
        <f t="shared" si="7"/>
      </c>
    </row>
    <row r="112" ht="30" customHeight="1" spans="1:21" x14ac:dyDescent="0.25">
      <c r="A112" s="2"/>
      <c r="B112" s="3"/>
      <c r="C112" s="4"/>
      <c r="D112" s="4"/>
      <c r="E112" s="2"/>
      <c r="F112" s="4"/>
      <c r="G112" s="2"/>
      <c r="H112" s="2"/>
      <c r="I112" s="4"/>
      <c r="J112" s="4"/>
      <c r="K112" s="4"/>
      <c r="L112" s="4"/>
      <c r="M112" s="4"/>
      <c r="N112" s="4"/>
      <c r="O112" s="4"/>
      <c r="P112" s="3"/>
      <c r="Q112" s="5">
        <f>IF($A112="","",COUNTIFS(Tasks!$B$2:$B$501,$A112))</f>
      </c>
      <c r="R112" s="5">
        <f>IF($A112="","",COUNTIFS(Tasks!$B$2:$B$501,$A112,Tasks!$L$2:$L$501,"Completed"))</f>
      </c>
      <c r="S112" s="5">
        <f t="shared" si="6"/>
      </c>
      <c r="T112" s="5">
        <f>IF($A112="","",SUMIFS(Tasks!$T$2:$T$501,Tasks!$B$2:$B$501,$A112))</f>
      </c>
      <c r="U112" s="6">
        <f t="shared" si="7"/>
      </c>
    </row>
    <row r="113" ht="30" customHeight="1" spans="1:21" x14ac:dyDescent="0.25">
      <c r="A113" s="2"/>
      <c r="B113" s="3"/>
      <c r="C113" s="4"/>
      <c r="D113" s="4"/>
      <c r="E113" s="2"/>
      <c r="F113" s="4"/>
      <c r="G113" s="2"/>
      <c r="H113" s="2"/>
      <c r="I113" s="4"/>
      <c r="J113" s="4"/>
      <c r="K113" s="4"/>
      <c r="L113" s="4"/>
      <c r="M113" s="4"/>
      <c r="N113" s="4"/>
      <c r="O113" s="4"/>
      <c r="P113" s="3"/>
      <c r="Q113" s="5">
        <f>IF($A113="","",COUNTIFS(Tasks!$B$2:$B$501,$A113))</f>
      </c>
      <c r="R113" s="5">
        <f>IF($A113="","",COUNTIFS(Tasks!$B$2:$B$501,$A113,Tasks!$L$2:$L$501,"Completed"))</f>
      </c>
      <c r="S113" s="5">
        <f t="shared" si="6"/>
      </c>
      <c r="T113" s="5">
        <f>IF($A113="","",SUMIFS(Tasks!$T$2:$T$501,Tasks!$B$2:$B$501,$A113))</f>
      </c>
      <c r="U113" s="6">
        <f t="shared" si="7"/>
      </c>
    </row>
    <row r="114" ht="30" customHeight="1" spans="1:21" x14ac:dyDescent="0.25">
      <c r="A114" s="2"/>
      <c r="B114" s="3"/>
      <c r="C114" s="4"/>
      <c r="D114" s="4"/>
      <c r="E114" s="2"/>
      <c r="F114" s="4"/>
      <c r="G114" s="2"/>
      <c r="H114" s="2"/>
      <c r="I114" s="4"/>
      <c r="J114" s="4"/>
      <c r="K114" s="4"/>
      <c r="L114" s="4"/>
      <c r="M114" s="4"/>
      <c r="N114" s="4"/>
      <c r="O114" s="4"/>
      <c r="P114" s="3"/>
      <c r="Q114" s="5">
        <f>IF($A114="","",COUNTIFS(Tasks!$B$2:$B$501,$A114))</f>
      </c>
      <c r="R114" s="5">
        <f>IF($A114="","",COUNTIFS(Tasks!$B$2:$B$501,$A114,Tasks!$L$2:$L$501,"Completed"))</f>
      </c>
      <c r="S114" s="5">
        <f t="shared" si="6"/>
      </c>
      <c r="T114" s="5">
        <f>IF($A114="","",SUMIFS(Tasks!$T$2:$T$501,Tasks!$B$2:$B$501,$A114))</f>
      </c>
      <c r="U114" s="6">
        <f t="shared" si="7"/>
      </c>
    </row>
    <row r="115" ht="30" customHeight="1" spans="1:21" x14ac:dyDescent="0.25">
      <c r="A115" s="2"/>
      <c r="B115" s="3"/>
      <c r="C115" s="4"/>
      <c r="D115" s="4"/>
      <c r="E115" s="2"/>
      <c r="F115" s="4"/>
      <c r="G115" s="2"/>
      <c r="H115" s="2"/>
      <c r="I115" s="4"/>
      <c r="J115" s="4"/>
      <c r="K115" s="4"/>
      <c r="L115" s="4"/>
      <c r="M115" s="4"/>
      <c r="N115" s="4"/>
      <c r="O115" s="4"/>
      <c r="P115" s="3"/>
      <c r="Q115" s="5">
        <f>IF($A115="","",COUNTIFS(Tasks!$B$2:$B$501,$A115))</f>
      </c>
      <c r="R115" s="5">
        <f>IF($A115="","",COUNTIFS(Tasks!$B$2:$B$501,$A115,Tasks!$L$2:$L$501,"Completed"))</f>
      </c>
      <c r="S115" s="5">
        <f t="shared" si="6"/>
      </c>
      <c r="T115" s="5">
        <f>IF($A115="","",SUMIFS(Tasks!$T$2:$T$501,Tasks!$B$2:$B$501,$A115))</f>
      </c>
      <c r="U115" s="6">
        <f t="shared" si="7"/>
      </c>
    </row>
    <row r="116" ht="30" customHeight="1" spans="1:21" x14ac:dyDescent="0.25">
      <c r="A116" s="2"/>
      <c r="B116" s="3"/>
      <c r="C116" s="4"/>
      <c r="D116" s="4"/>
      <c r="E116" s="2"/>
      <c r="F116" s="4"/>
      <c r="G116" s="2"/>
      <c r="H116" s="2"/>
      <c r="I116" s="4"/>
      <c r="J116" s="4"/>
      <c r="K116" s="4"/>
      <c r="L116" s="4"/>
      <c r="M116" s="4"/>
      <c r="N116" s="4"/>
      <c r="O116" s="4"/>
      <c r="P116" s="3"/>
      <c r="Q116" s="5">
        <f>IF($A116="","",COUNTIFS(Tasks!$B$2:$B$501,$A116))</f>
      </c>
      <c r="R116" s="5">
        <f>IF($A116="","",COUNTIFS(Tasks!$B$2:$B$501,$A116,Tasks!$L$2:$L$501,"Completed"))</f>
      </c>
      <c r="S116" s="5">
        <f t="shared" si="6"/>
      </c>
      <c r="T116" s="5">
        <f>IF($A116="","",SUMIFS(Tasks!$T$2:$T$501,Tasks!$B$2:$B$501,$A116))</f>
      </c>
      <c r="U116" s="6">
        <f t="shared" si="7"/>
      </c>
    </row>
    <row r="117" ht="30" customHeight="1" spans="1:21" x14ac:dyDescent="0.25">
      <c r="A117" s="2"/>
      <c r="B117" s="3"/>
      <c r="C117" s="4"/>
      <c r="D117" s="4"/>
      <c r="E117" s="2"/>
      <c r="F117" s="4"/>
      <c r="G117" s="2"/>
      <c r="H117" s="2"/>
      <c r="I117" s="4"/>
      <c r="J117" s="4"/>
      <c r="K117" s="4"/>
      <c r="L117" s="4"/>
      <c r="M117" s="4"/>
      <c r="N117" s="4"/>
      <c r="O117" s="4"/>
      <c r="P117" s="3"/>
      <c r="Q117" s="5">
        <f>IF($A117="","",COUNTIFS(Tasks!$B$2:$B$501,$A117))</f>
      </c>
      <c r="R117" s="5">
        <f>IF($A117="","",COUNTIFS(Tasks!$B$2:$B$501,$A117,Tasks!$L$2:$L$501,"Completed"))</f>
      </c>
      <c r="S117" s="5">
        <f t="shared" si="6"/>
      </c>
      <c r="T117" s="5">
        <f>IF($A117="","",SUMIFS(Tasks!$T$2:$T$501,Tasks!$B$2:$B$501,$A117))</f>
      </c>
      <c r="U117" s="6">
        <f t="shared" si="7"/>
      </c>
    </row>
    <row r="118" ht="30" customHeight="1" spans="1:21" x14ac:dyDescent="0.25">
      <c r="A118" s="2"/>
      <c r="B118" s="3"/>
      <c r="C118" s="4"/>
      <c r="D118" s="4"/>
      <c r="E118" s="2"/>
      <c r="F118" s="4"/>
      <c r="G118" s="2"/>
      <c r="H118" s="2"/>
      <c r="I118" s="4"/>
      <c r="J118" s="4"/>
      <c r="K118" s="4"/>
      <c r="L118" s="4"/>
      <c r="M118" s="4"/>
      <c r="N118" s="4"/>
      <c r="O118" s="4"/>
      <c r="P118" s="3"/>
      <c r="Q118" s="5">
        <f>IF($A118="","",COUNTIFS(Tasks!$B$2:$B$501,$A118))</f>
      </c>
      <c r="R118" s="5">
        <f>IF($A118="","",COUNTIFS(Tasks!$B$2:$B$501,$A118,Tasks!$L$2:$L$501,"Completed"))</f>
      </c>
      <c r="S118" s="5">
        <f t="shared" si="6"/>
      </c>
      <c r="T118" s="5">
        <f>IF($A118="","",SUMIFS(Tasks!$T$2:$T$501,Tasks!$B$2:$B$501,$A118))</f>
      </c>
      <c r="U118" s="6">
        <f t="shared" si="7"/>
      </c>
    </row>
    <row r="119" ht="30" customHeight="1" spans="1:21" x14ac:dyDescent="0.25">
      <c r="A119" s="2"/>
      <c r="B119" s="3"/>
      <c r="C119" s="4"/>
      <c r="D119" s="4"/>
      <c r="E119" s="2"/>
      <c r="F119" s="4"/>
      <c r="G119" s="2"/>
      <c r="H119" s="2"/>
      <c r="I119" s="4"/>
      <c r="J119" s="4"/>
      <c r="K119" s="4"/>
      <c r="L119" s="4"/>
      <c r="M119" s="4"/>
      <c r="N119" s="4"/>
      <c r="O119" s="4"/>
      <c r="P119" s="3"/>
      <c r="Q119" s="5">
        <f>IF($A119="","",COUNTIFS(Tasks!$B$2:$B$501,$A119))</f>
      </c>
      <c r="R119" s="5">
        <f>IF($A119="","",COUNTIFS(Tasks!$B$2:$B$501,$A119,Tasks!$L$2:$L$501,"Completed"))</f>
      </c>
      <c r="S119" s="5">
        <f t="shared" si="6"/>
      </c>
      <c r="T119" s="5">
        <f>IF($A119="","",SUMIFS(Tasks!$T$2:$T$501,Tasks!$B$2:$B$501,$A119))</f>
      </c>
      <c r="U119" s="6">
        <f t="shared" si="7"/>
      </c>
    </row>
    <row r="120" ht="30" customHeight="1" spans="1:21" x14ac:dyDescent="0.25">
      <c r="A120" s="2"/>
      <c r="B120" s="3"/>
      <c r="C120" s="4"/>
      <c r="D120" s="4"/>
      <c r="E120" s="2"/>
      <c r="F120" s="4"/>
      <c r="G120" s="2"/>
      <c r="H120" s="2"/>
      <c r="I120" s="4"/>
      <c r="J120" s="4"/>
      <c r="K120" s="4"/>
      <c r="L120" s="4"/>
      <c r="M120" s="4"/>
      <c r="N120" s="4"/>
      <c r="O120" s="4"/>
      <c r="P120" s="3"/>
      <c r="Q120" s="5">
        <f>IF($A120="","",COUNTIFS(Tasks!$B$2:$B$501,$A120))</f>
      </c>
      <c r="R120" s="5">
        <f>IF($A120="","",COUNTIFS(Tasks!$B$2:$B$501,$A120,Tasks!$L$2:$L$501,"Completed"))</f>
      </c>
      <c r="S120" s="5">
        <f t="shared" si="6"/>
      </c>
      <c r="T120" s="5">
        <f>IF($A120="","",SUMIFS(Tasks!$T$2:$T$501,Tasks!$B$2:$B$501,$A120))</f>
      </c>
      <c r="U120" s="6">
        <f t="shared" si="7"/>
      </c>
    </row>
    <row r="121" ht="30" customHeight="1" spans="1:21" x14ac:dyDescent="0.25">
      <c r="A121" s="2"/>
      <c r="B121" s="3"/>
      <c r="C121" s="4"/>
      <c r="D121" s="4"/>
      <c r="E121" s="2"/>
      <c r="F121" s="4"/>
      <c r="G121" s="2"/>
      <c r="H121" s="2"/>
      <c r="I121" s="4"/>
      <c r="J121" s="4"/>
      <c r="K121" s="4"/>
      <c r="L121" s="4"/>
      <c r="M121" s="4"/>
      <c r="N121" s="4"/>
      <c r="O121" s="4"/>
      <c r="P121" s="3"/>
      <c r="Q121" s="5">
        <f>IF($A121="","",COUNTIFS(Tasks!$B$2:$B$501,$A121))</f>
      </c>
      <c r="R121" s="5">
        <f>IF($A121="","",COUNTIFS(Tasks!$B$2:$B$501,$A121,Tasks!$L$2:$L$501,"Completed"))</f>
      </c>
      <c r="S121" s="5">
        <f t="shared" si="6"/>
      </c>
      <c r="T121" s="5">
        <f>IF($A121="","",SUMIFS(Tasks!$T$2:$T$501,Tasks!$B$2:$B$501,$A121))</f>
      </c>
      <c r="U121" s="6">
        <f t="shared" si="7"/>
      </c>
    </row>
    <row r="122" ht="30" customHeight="1" spans="1:21" x14ac:dyDescent="0.25">
      <c r="A122" s="2"/>
      <c r="B122" s="3"/>
      <c r="C122" s="4"/>
      <c r="D122" s="4"/>
      <c r="E122" s="2"/>
      <c r="F122" s="4"/>
      <c r="G122" s="2"/>
      <c r="H122" s="2"/>
      <c r="I122" s="4"/>
      <c r="J122" s="4"/>
      <c r="K122" s="4"/>
      <c r="L122" s="4"/>
      <c r="M122" s="4"/>
      <c r="N122" s="4"/>
      <c r="O122" s="4"/>
      <c r="P122" s="3"/>
      <c r="Q122" s="5">
        <f>IF($A122="","",COUNTIFS(Tasks!$B$2:$B$501,$A122))</f>
      </c>
      <c r="R122" s="5">
        <f>IF($A122="","",COUNTIFS(Tasks!$B$2:$B$501,$A122,Tasks!$L$2:$L$501,"Completed"))</f>
      </c>
      <c r="S122" s="5">
        <f t="shared" si="6"/>
      </c>
      <c r="T122" s="5">
        <f>IF($A122="","",SUMIFS(Tasks!$T$2:$T$501,Tasks!$B$2:$B$501,$A122))</f>
      </c>
      <c r="U122" s="6">
        <f t="shared" si="7"/>
      </c>
    </row>
    <row r="123" ht="30" customHeight="1" spans="1:21" x14ac:dyDescent="0.25">
      <c r="A123" s="2"/>
      <c r="B123" s="3"/>
      <c r="C123" s="4"/>
      <c r="D123" s="4"/>
      <c r="E123" s="2"/>
      <c r="F123" s="4"/>
      <c r="G123" s="2"/>
      <c r="H123" s="2"/>
      <c r="I123" s="4"/>
      <c r="J123" s="4"/>
      <c r="K123" s="4"/>
      <c r="L123" s="4"/>
      <c r="M123" s="4"/>
      <c r="N123" s="4"/>
      <c r="O123" s="4"/>
      <c r="P123" s="3"/>
      <c r="Q123" s="5">
        <f>IF($A123="","",COUNTIFS(Tasks!$B$2:$B$501,$A123))</f>
      </c>
      <c r="R123" s="5">
        <f>IF($A123="","",COUNTIFS(Tasks!$B$2:$B$501,$A123,Tasks!$L$2:$L$501,"Completed"))</f>
      </c>
      <c r="S123" s="5">
        <f t="shared" si="6"/>
      </c>
      <c r="T123" s="5">
        <f>IF($A123="","",SUMIFS(Tasks!$T$2:$T$501,Tasks!$B$2:$B$501,$A123))</f>
      </c>
      <c r="U123" s="6">
        <f t="shared" si="7"/>
      </c>
    </row>
    <row r="124" ht="30" customHeight="1" spans="1:21" x14ac:dyDescent="0.25">
      <c r="A124" s="2"/>
      <c r="B124" s="3"/>
      <c r="C124" s="4"/>
      <c r="D124" s="4"/>
      <c r="E124" s="2"/>
      <c r="F124" s="4"/>
      <c r="G124" s="2"/>
      <c r="H124" s="2"/>
      <c r="I124" s="4"/>
      <c r="J124" s="4"/>
      <c r="K124" s="4"/>
      <c r="L124" s="4"/>
      <c r="M124" s="4"/>
      <c r="N124" s="4"/>
      <c r="O124" s="4"/>
      <c r="P124" s="3"/>
      <c r="Q124" s="5">
        <f>IF($A124="","",COUNTIFS(Tasks!$B$2:$B$501,$A124))</f>
      </c>
      <c r="R124" s="5">
        <f>IF($A124="","",COUNTIFS(Tasks!$B$2:$B$501,$A124,Tasks!$L$2:$L$501,"Completed"))</f>
      </c>
      <c r="S124" s="5">
        <f t="shared" si="6"/>
      </c>
      <c r="T124" s="5">
        <f>IF($A124="","",SUMIFS(Tasks!$T$2:$T$501,Tasks!$B$2:$B$501,$A124))</f>
      </c>
      <c r="U124" s="6">
        <f t="shared" si="7"/>
      </c>
    </row>
    <row r="125" ht="30" customHeight="1" spans="1:21" x14ac:dyDescent="0.25">
      <c r="A125" s="2"/>
      <c r="B125" s="3"/>
      <c r="C125" s="4"/>
      <c r="D125" s="4"/>
      <c r="E125" s="2"/>
      <c r="F125" s="4"/>
      <c r="G125" s="2"/>
      <c r="H125" s="2"/>
      <c r="I125" s="4"/>
      <c r="J125" s="4"/>
      <c r="K125" s="4"/>
      <c r="L125" s="4"/>
      <c r="M125" s="4"/>
      <c r="N125" s="4"/>
      <c r="O125" s="4"/>
      <c r="P125" s="3"/>
      <c r="Q125" s="5">
        <f>IF($A125="","",COUNTIFS(Tasks!$B$2:$B$501,$A125))</f>
      </c>
      <c r="R125" s="5">
        <f>IF($A125="","",COUNTIFS(Tasks!$B$2:$B$501,$A125,Tasks!$L$2:$L$501,"Completed"))</f>
      </c>
      <c r="S125" s="5">
        <f t="shared" si="6"/>
      </c>
      <c r="T125" s="5">
        <f>IF($A125="","",SUMIFS(Tasks!$T$2:$T$501,Tasks!$B$2:$B$501,$A125))</f>
      </c>
      <c r="U125" s="6">
        <f t="shared" si="7"/>
      </c>
    </row>
    <row r="126" ht="30" customHeight="1" spans="1:21" x14ac:dyDescent="0.25">
      <c r="A126" s="2"/>
      <c r="B126" s="3"/>
      <c r="C126" s="4"/>
      <c r="D126" s="4"/>
      <c r="E126" s="2"/>
      <c r="F126" s="4"/>
      <c r="G126" s="2"/>
      <c r="H126" s="2"/>
      <c r="I126" s="4"/>
      <c r="J126" s="4"/>
      <c r="K126" s="4"/>
      <c r="L126" s="4"/>
      <c r="M126" s="4"/>
      <c r="N126" s="4"/>
      <c r="O126" s="4"/>
      <c r="P126" s="3"/>
      <c r="Q126" s="5">
        <f>IF($A126="","",COUNTIFS(Tasks!$B$2:$B$501,$A126))</f>
      </c>
      <c r="R126" s="5">
        <f>IF($A126="","",COUNTIFS(Tasks!$B$2:$B$501,$A126,Tasks!$L$2:$L$501,"Completed"))</f>
      </c>
      <c r="S126" s="5">
        <f t="shared" si="6"/>
      </c>
      <c r="T126" s="5">
        <f>IF($A126="","",SUMIFS(Tasks!$T$2:$T$501,Tasks!$B$2:$B$501,$A126))</f>
      </c>
      <c r="U126" s="6">
        <f t="shared" si="7"/>
      </c>
    </row>
    <row r="127" ht="30" customHeight="1" spans="1:21" x14ac:dyDescent="0.25">
      <c r="A127" s="2"/>
      <c r="B127" s="3"/>
      <c r="C127" s="4"/>
      <c r="D127" s="4"/>
      <c r="E127" s="2"/>
      <c r="F127" s="4"/>
      <c r="G127" s="2"/>
      <c r="H127" s="2"/>
      <c r="I127" s="4"/>
      <c r="J127" s="4"/>
      <c r="K127" s="4"/>
      <c r="L127" s="4"/>
      <c r="M127" s="4"/>
      <c r="N127" s="4"/>
      <c r="O127" s="4"/>
      <c r="P127" s="3"/>
      <c r="Q127" s="5">
        <f>IF($A127="","",COUNTIFS(Tasks!$B$2:$B$501,$A127))</f>
      </c>
      <c r="R127" s="5">
        <f>IF($A127="","",COUNTIFS(Tasks!$B$2:$B$501,$A127,Tasks!$L$2:$L$501,"Completed"))</f>
      </c>
      <c r="S127" s="5">
        <f t="shared" si="6"/>
      </c>
      <c r="T127" s="5">
        <f>IF($A127="","",SUMIFS(Tasks!$T$2:$T$501,Tasks!$B$2:$B$501,$A127))</f>
      </c>
      <c r="U127" s="6">
        <f t="shared" si="7"/>
      </c>
    </row>
    <row r="128" ht="30" customHeight="1" spans="1:21" x14ac:dyDescent="0.25">
      <c r="A128" s="2"/>
      <c r="B128" s="3"/>
      <c r="C128" s="4"/>
      <c r="D128" s="4"/>
      <c r="E128" s="2"/>
      <c r="F128" s="4"/>
      <c r="G128" s="2"/>
      <c r="H128" s="2"/>
      <c r="I128" s="4"/>
      <c r="J128" s="4"/>
      <c r="K128" s="4"/>
      <c r="L128" s="4"/>
      <c r="M128" s="4"/>
      <c r="N128" s="4"/>
      <c r="O128" s="4"/>
      <c r="P128" s="3"/>
      <c r="Q128" s="5">
        <f>IF($A128="","",COUNTIFS(Tasks!$B$2:$B$501,$A128))</f>
      </c>
      <c r="R128" s="5">
        <f>IF($A128="","",COUNTIFS(Tasks!$B$2:$B$501,$A128,Tasks!$L$2:$L$501,"Completed"))</f>
      </c>
      <c r="S128" s="5">
        <f t="shared" si="6"/>
      </c>
      <c r="T128" s="5">
        <f>IF($A128="","",SUMIFS(Tasks!$T$2:$T$501,Tasks!$B$2:$B$501,$A128))</f>
      </c>
      <c r="U128" s="6">
        <f t="shared" si="7"/>
      </c>
    </row>
    <row r="129" ht="30" customHeight="1" spans="1:21" x14ac:dyDescent="0.25">
      <c r="A129" s="2"/>
      <c r="B129" s="3"/>
      <c r="C129" s="4"/>
      <c r="D129" s="4"/>
      <c r="E129" s="2"/>
      <c r="F129" s="4"/>
      <c r="G129" s="2"/>
      <c r="H129" s="2"/>
      <c r="I129" s="4"/>
      <c r="J129" s="4"/>
      <c r="K129" s="4"/>
      <c r="L129" s="4"/>
      <c r="M129" s="4"/>
      <c r="N129" s="4"/>
      <c r="O129" s="4"/>
      <c r="P129" s="3"/>
      <c r="Q129" s="5">
        <f>IF($A129="","",COUNTIFS(Tasks!$B$2:$B$501,$A129))</f>
      </c>
      <c r="R129" s="5">
        <f>IF($A129="","",COUNTIFS(Tasks!$B$2:$B$501,$A129,Tasks!$L$2:$L$501,"Completed"))</f>
      </c>
      <c r="S129" s="5">
        <f t="shared" si="6"/>
      </c>
      <c r="T129" s="5">
        <f>IF($A129="","",SUMIFS(Tasks!$T$2:$T$501,Tasks!$B$2:$B$501,$A129))</f>
      </c>
      <c r="U129" s="6">
        <f t="shared" si="7"/>
      </c>
    </row>
    <row r="130" ht="30" customHeight="1" spans="1:21" x14ac:dyDescent="0.25">
      <c r="A130" s="2"/>
      <c r="B130" s="3"/>
      <c r="C130" s="4"/>
      <c r="D130" s="4"/>
      <c r="E130" s="2"/>
      <c r="F130" s="4"/>
      <c r="G130" s="2"/>
      <c r="H130" s="2"/>
      <c r="I130" s="4"/>
      <c r="J130" s="4"/>
      <c r="K130" s="4"/>
      <c r="L130" s="4"/>
      <c r="M130" s="4"/>
      <c r="N130" s="4"/>
      <c r="O130" s="4"/>
      <c r="P130" s="3"/>
      <c r="Q130" s="5">
        <f>IF($A130="","",COUNTIFS(Tasks!$B$2:$B$501,$A130))</f>
      </c>
      <c r="R130" s="5">
        <f>IF($A130="","",COUNTIFS(Tasks!$B$2:$B$501,$A130,Tasks!$L$2:$L$501,"Completed"))</f>
      </c>
      <c r="S130" s="5">
        <f t="shared" ref="S130:S161" si="8">IF($A130="","",$Q130-$R130)</f>
      </c>
      <c r="T130" s="5">
        <f>IF($A130="","",SUMIFS(Tasks!$T$2:$T$501,Tasks!$B$2:$B$501,$A130))</f>
      </c>
      <c r="U130" s="6">
        <f t="shared" ref="U130:U161" si="9">IF($A130="","",IF($Q130=0,"",$R130/$Q130))</f>
      </c>
    </row>
    <row r="131" ht="30" customHeight="1" spans="1:21" x14ac:dyDescent="0.25">
      <c r="A131" s="2"/>
      <c r="B131" s="3"/>
      <c r="C131" s="4"/>
      <c r="D131" s="4"/>
      <c r="E131" s="2"/>
      <c r="F131" s="4"/>
      <c r="G131" s="2"/>
      <c r="H131" s="2"/>
      <c r="I131" s="4"/>
      <c r="J131" s="4"/>
      <c r="K131" s="4"/>
      <c r="L131" s="4"/>
      <c r="M131" s="4"/>
      <c r="N131" s="4"/>
      <c r="O131" s="4"/>
      <c r="P131" s="3"/>
      <c r="Q131" s="5">
        <f>IF($A131="","",COUNTIFS(Tasks!$B$2:$B$501,$A131))</f>
      </c>
      <c r="R131" s="5">
        <f>IF($A131="","",COUNTIFS(Tasks!$B$2:$B$501,$A131,Tasks!$L$2:$L$501,"Completed"))</f>
      </c>
      <c r="S131" s="5">
        <f t="shared" si="8"/>
      </c>
      <c r="T131" s="5">
        <f>IF($A131="","",SUMIFS(Tasks!$T$2:$T$501,Tasks!$B$2:$B$501,$A131))</f>
      </c>
      <c r="U131" s="6">
        <f t="shared" si="9"/>
      </c>
    </row>
    <row r="132" ht="30" customHeight="1" spans="1:21" x14ac:dyDescent="0.25">
      <c r="A132" s="2"/>
      <c r="B132" s="3"/>
      <c r="C132" s="4"/>
      <c r="D132" s="4"/>
      <c r="E132" s="2"/>
      <c r="F132" s="4"/>
      <c r="G132" s="2"/>
      <c r="H132" s="2"/>
      <c r="I132" s="4"/>
      <c r="J132" s="4"/>
      <c r="K132" s="4"/>
      <c r="L132" s="4"/>
      <c r="M132" s="4"/>
      <c r="N132" s="4"/>
      <c r="O132" s="4"/>
      <c r="P132" s="3"/>
      <c r="Q132" s="5">
        <f>IF($A132="","",COUNTIFS(Tasks!$B$2:$B$501,$A132))</f>
      </c>
      <c r="R132" s="5">
        <f>IF($A132="","",COUNTIFS(Tasks!$B$2:$B$501,$A132,Tasks!$L$2:$L$501,"Completed"))</f>
      </c>
      <c r="S132" s="5">
        <f t="shared" si="8"/>
      </c>
      <c r="T132" s="5">
        <f>IF($A132="","",SUMIFS(Tasks!$T$2:$T$501,Tasks!$B$2:$B$501,$A132))</f>
      </c>
      <c r="U132" s="6">
        <f t="shared" si="9"/>
      </c>
    </row>
    <row r="133" ht="30" customHeight="1" spans="1:21" x14ac:dyDescent="0.25">
      <c r="A133" s="2"/>
      <c r="B133" s="3"/>
      <c r="C133" s="4"/>
      <c r="D133" s="4"/>
      <c r="E133" s="2"/>
      <c r="F133" s="4"/>
      <c r="G133" s="2"/>
      <c r="H133" s="2"/>
      <c r="I133" s="4"/>
      <c r="J133" s="4"/>
      <c r="K133" s="4"/>
      <c r="L133" s="4"/>
      <c r="M133" s="4"/>
      <c r="N133" s="4"/>
      <c r="O133" s="4"/>
      <c r="P133" s="3"/>
      <c r="Q133" s="5">
        <f>IF($A133="","",COUNTIFS(Tasks!$B$2:$B$501,$A133))</f>
      </c>
      <c r="R133" s="5">
        <f>IF($A133="","",COUNTIFS(Tasks!$B$2:$B$501,$A133,Tasks!$L$2:$L$501,"Completed"))</f>
      </c>
      <c r="S133" s="5">
        <f t="shared" si="8"/>
      </c>
      <c r="T133" s="5">
        <f>IF($A133="","",SUMIFS(Tasks!$T$2:$T$501,Tasks!$B$2:$B$501,$A133))</f>
      </c>
      <c r="U133" s="6">
        <f t="shared" si="9"/>
      </c>
    </row>
    <row r="134" ht="30" customHeight="1" spans="1:21" x14ac:dyDescent="0.25">
      <c r="A134" s="2"/>
      <c r="B134" s="3"/>
      <c r="C134" s="4"/>
      <c r="D134" s="4"/>
      <c r="E134" s="2"/>
      <c r="F134" s="4"/>
      <c r="G134" s="2"/>
      <c r="H134" s="2"/>
      <c r="I134" s="4"/>
      <c r="J134" s="4"/>
      <c r="K134" s="4"/>
      <c r="L134" s="4"/>
      <c r="M134" s="4"/>
      <c r="N134" s="4"/>
      <c r="O134" s="4"/>
      <c r="P134" s="3"/>
      <c r="Q134" s="5">
        <f>IF($A134="","",COUNTIFS(Tasks!$B$2:$B$501,$A134))</f>
      </c>
      <c r="R134" s="5">
        <f>IF($A134="","",COUNTIFS(Tasks!$B$2:$B$501,$A134,Tasks!$L$2:$L$501,"Completed"))</f>
      </c>
      <c r="S134" s="5">
        <f t="shared" si="8"/>
      </c>
      <c r="T134" s="5">
        <f>IF($A134="","",SUMIFS(Tasks!$T$2:$T$501,Tasks!$B$2:$B$501,$A134))</f>
      </c>
      <c r="U134" s="6">
        <f t="shared" si="9"/>
      </c>
    </row>
    <row r="135" ht="30" customHeight="1" spans="1:21" x14ac:dyDescent="0.25">
      <c r="A135" s="2"/>
      <c r="B135" s="3"/>
      <c r="C135" s="4"/>
      <c r="D135" s="4"/>
      <c r="E135" s="2"/>
      <c r="F135" s="4"/>
      <c r="G135" s="2"/>
      <c r="H135" s="2"/>
      <c r="I135" s="4"/>
      <c r="J135" s="4"/>
      <c r="K135" s="4"/>
      <c r="L135" s="4"/>
      <c r="M135" s="4"/>
      <c r="N135" s="4"/>
      <c r="O135" s="4"/>
      <c r="P135" s="3"/>
      <c r="Q135" s="5">
        <f>IF($A135="","",COUNTIFS(Tasks!$B$2:$B$501,$A135))</f>
      </c>
      <c r="R135" s="5">
        <f>IF($A135="","",COUNTIFS(Tasks!$B$2:$B$501,$A135,Tasks!$L$2:$L$501,"Completed"))</f>
      </c>
      <c r="S135" s="5">
        <f t="shared" si="8"/>
      </c>
      <c r="T135" s="5">
        <f>IF($A135="","",SUMIFS(Tasks!$T$2:$T$501,Tasks!$B$2:$B$501,$A135))</f>
      </c>
      <c r="U135" s="6">
        <f t="shared" si="9"/>
      </c>
    </row>
    <row r="136" ht="30" customHeight="1" spans="1:21" x14ac:dyDescent="0.25">
      <c r="A136" s="2"/>
      <c r="B136" s="3"/>
      <c r="C136" s="4"/>
      <c r="D136" s="4"/>
      <c r="E136" s="2"/>
      <c r="F136" s="4"/>
      <c r="G136" s="2"/>
      <c r="H136" s="2"/>
      <c r="I136" s="4"/>
      <c r="J136" s="4"/>
      <c r="K136" s="4"/>
      <c r="L136" s="4"/>
      <c r="M136" s="4"/>
      <c r="N136" s="4"/>
      <c r="O136" s="4"/>
      <c r="P136" s="3"/>
      <c r="Q136" s="5">
        <f>IF($A136="","",COUNTIFS(Tasks!$B$2:$B$501,$A136))</f>
      </c>
      <c r="R136" s="5">
        <f>IF($A136="","",COUNTIFS(Tasks!$B$2:$B$501,$A136,Tasks!$L$2:$L$501,"Completed"))</f>
      </c>
      <c r="S136" s="5">
        <f t="shared" si="8"/>
      </c>
      <c r="T136" s="5">
        <f>IF($A136="","",SUMIFS(Tasks!$T$2:$T$501,Tasks!$B$2:$B$501,$A136))</f>
      </c>
      <c r="U136" s="6">
        <f t="shared" si="9"/>
      </c>
    </row>
    <row r="137" ht="30" customHeight="1" spans="1:21" x14ac:dyDescent="0.25">
      <c r="A137" s="2"/>
      <c r="B137" s="3"/>
      <c r="C137" s="4"/>
      <c r="D137" s="4"/>
      <c r="E137" s="2"/>
      <c r="F137" s="4"/>
      <c r="G137" s="2"/>
      <c r="H137" s="2"/>
      <c r="I137" s="4"/>
      <c r="J137" s="4"/>
      <c r="K137" s="4"/>
      <c r="L137" s="4"/>
      <c r="M137" s="4"/>
      <c r="N137" s="4"/>
      <c r="O137" s="4"/>
      <c r="P137" s="3"/>
      <c r="Q137" s="5">
        <f>IF($A137="","",COUNTIFS(Tasks!$B$2:$B$501,$A137))</f>
      </c>
      <c r="R137" s="5">
        <f>IF($A137="","",COUNTIFS(Tasks!$B$2:$B$501,$A137,Tasks!$L$2:$L$501,"Completed"))</f>
      </c>
      <c r="S137" s="5">
        <f t="shared" si="8"/>
      </c>
      <c r="T137" s="5">
        <f>IF($A137="","",SUMIFS(Tasks!$T$2:$T$501,Tasks!$B$2:$B$501,$A137))</f>
      </c>
      <c r="U137" s="6">
        <f t="shared" si="9"/>
      </c>
    </row>
    <row r="138" ht="30" customHeight="1" spans="1:21" x14ac:dyDescent="0.25">
      <c r="A138" s="2"/>
      <c r="B138" s="3"/>
      <c r="C138" s="4"/>
      <c r="D138" s="4"/>
      <c r="E138" s="2"/>
      <c r="F138" s="4"/>
      <c r="G138" s="2"/>
      <c r="H138" s="2"/>
      <c r="I138" s="4"/>
      <c r="J138" s="4"/>
      <c r="K138" s="4"/>
      <c r="L138" s="4"/>
      <c r="M138" s="4"/>
      <c r="N138" s="4"/>
      <c r="O138" s="4"/>
      <c r="P138" s="3"/>
      <c r="Q138" s="5">
        <f>IF($A138="","",COUNTIFS(Tasks!$B$2:$B$501,$A138))</f>
      </c>
      <c r="R138" s="5">
        <f>IF($A138="","",COUNTIFS(Tasks!$B$2:$B$501,$A138,Tasks!$L$2:$L$501,"Completed"))</f>
      </c>
      <c r="S138" s="5">
        <f t="shared" si="8"/>
      </c>
      <c r="T138" s="5">
        <f>IF($A138="","",SUMIFS(Tasks!$T$2:$T$501,Tasks!$B$2:$B$501,$A138))</f>
      </c>
      <c r="U138" s="6">
        <f t="shared" si="9"/>
      </c>
    </row>
    <row r="139" ht="30" customHeight="1" spans="1:21" x14ac:dyDescent="0.25">
      <c r="A139" s="2"/>
      <c r="B139" s="3"/>
      <c r="C139" s="4"/>
      <c r="D139" s="4"/>
      <c r="E139" s="2"/>
      <c r="F139" s="4"/>
      <c r="G139" s="2"/>
      <c r="H139" s="2"/>
      <c r="I139" s="4"/>
      <c r="J139" s="4"/>
      <c r="K139" s="4"/>
      <c r="L139" s="4"/>
      <c r="M139" s="4"/>
      <c r="N139" s="4"/>
      <c r="O139" s="4"/>
      <c r="P139" s="3"/>
      <c r="Q139" s="5">
        <f>IF($A139="","",COUNTIFS(Tasks!$B$2:$B$501,$A139))</f>
      </c>
      <c r="R139" s="5">
        <f>IF($A139="","",COUNTIFS(Tasks!$B$2:$B$501,$A139,Tasks!$L$2:$L$501,"Completed"))</f>
      </c>
      <c r="S139" s="5">
        <f t="shared" si="8"/>
      </c>
      <c r="T139" s="5">
        <f>IF($A139="","",SUMIFS(Tasks!$T$2:$T$501,Tasks!$B$2:$B$501,$A139))</f>
      </c>
      <c r="U139" s="6">
        <f t="shared" si="9"/>
      </c>
    </row>
    <row r="140" ht="30" customHeight="1" spans="1:21" x14ac:dyDescent="0.25">
      <c r="A140" s="2"/>
      <c r="B140" s="3"/>
      <c r="C140" s="4"/>
      <c r="D140" s="4"/>
      <c r="E140" s="2"/>
      <c r="F140" s="4"/>
      <c r="G140" s="2"/>
      <c r="H140" s="2"/>
      <c r="I140" s="4"/>
      <c r="J140" s="4"/>
      <c r="K140" s="4"/>
      <c r="L140" s="4"/>
      <c r="M140" s="4"/>
      <c r="N140" s="4"/>
      <c r="O140" s="4"/>
      <c r="P140" s="3"/>
      <c r="Q140" s="5">
        <f>IF($A140="","",COUNTIFS(Tasks!$B$2:$B$501,$A140))</f>
      </c>
      <c r="R140" s="5">
        <f>IF($A140="","",COUNTIFS(Tasks!$B$2:$B$501,$A140,Tasks!$L$2:$L$501,"Completed"))</f>
      </c>
      <c r="S140" s="5">
        <f t="shared" si="8"/>
      </c>
      <c r="T140" s="5">
        <f>IF($A140="","",SUMIFS(Tasks!$T$2:$T$501,Tasks!$B$2:$B$501,$A140))</f>
      </c>
      <c r="U140" s="6">
        <f t="shared" si="9"/>
      </c>
    </row>
    <row r="141" ht="30" customHeight="1" spans="1:21" x14ac:dyDescent="0.25">
      <c r="A141" s="2"/>
      <c r="B141" s="3"/>
      <c r="C141" s="4"/>
      <c r="D141" s="4"/>
      <c r="E141" s="2"/>
      <c r="F141" s="4"/>
      <c r="G141" s="2"/>
      <c r="H141" s="2"/>
      <c r="I141" s="4"/>
      <c r="J141" s="4"/>
      <c r="K141" s="4"/>
      <c r="L141" s="4"/>
      <c r="M141" s="4"/>
      <c r="N141" s="4"/>
      <c r="O141" s="4"/>
      <c r="P141" s="3"/>
      <c r="Q141" s="5">
        <f>IF($A141="","",COUNTIFS(Tasks!$B$2:$B$501,$A141))</f>
      </c>
      <c r="R141" s="5">
        <f>IF($A141="","",COUNTIFS(Tasks!$B$2:$B$501,$A141,Tasks!$L$2:$L$501,"Completed"))</f>
      </c>
      <c r="S141" s="5">
        <f t="shared" si="8"/>
      </c>
      <c r="T141" s="5">
        <f>IF($A141="","",SUMIFS(Tasks!$T$2:$T$501,Tasks!$B$2:$B$501,$A141))</f>
      </c>
      <c r="U141" s="6">
        <f t="shared" si="9"/>
      </c>
    </row>
    <row r="142" ht="30" customHeight="1" spans="1:21" x14ac:dyDescent="0.25">
      <c r="A142" s="2"/>
      <c r="B142" s="3"/>
      <c r="C142" s="4"/>
      <c r="D142" s="4"/>
      <c r="E142" s="2"/>
      <c r="F142" s="4"/>
      <c r="G142" s="2"/>
      <c r="H142" s="2"/>
      <c r="I142" s="4"/>
      <c r="J142" s="4"/>
      <c r="K142" s="4"/>
      <c r="L142" s="4"/>
      <c r="M142" s="4"/>
      <c r="N142" s="4"/>
      <c r="O142" s="4"/>
      <c r="P142" s="3"/>
      <c r="Q142" s="5">
        <f>IF($A142="","",COUNTIFS(Tasks!$B$2:$B$501,$A142))</f>
      </c>
      <c r="R142" s="5">
        <f>IF($A142="","",COUNTIFS(Tasks!$B$2:$B$501,$A142,Tasks!$L$2:$L$501,"Completed"))</f>
      </c>
      <c r="S142" s="5">
        <f t="shared" si="8"/>
      </c>
      <c r="T142" s="5">
        <f>IF($A142="","",SUMIFS(Tasks!$T$2:$T$501,Tasks!$B$2:$B$501,$A142))</f>
      </c>
      <c r="U142" s="6">
        <f t="shared" si="9"/>
      </c>
    </row>
    <row r="143" ht="30" customHeight="1" spans="1:21" x14ac:dyDescent="0.25">
      <c r="A143" s="2"/>
      <c r="B143" s="3"/>
      <c r="C143" s="4"/>
      <c r="D143" s="4"/>
      <c r="E143" s="2"/>
      <c r="F143" s="4"/>
      <c r="G143" s="2"/>
      <c r="H143" s="2"/>
      <c r="I143" s="4"/>
      <c r="J143" s="4"/>
      <c r="K143" s="4"/>
      <c r="L143" s="4"/>
      <c r="M143" s="4"/>
      <c r="N143" s="4"/>
      <c r="O143" s="4"/>
      <c r="P143" s="3"/>
      <c r="Q143" s="5">
        <f>IF($A143="","",COUNTIFS(Tasks!$B$2:$B$501,$A143))</f>
      </c>
      <c r="R143" s="5">
        <f>IF($A143="","",COUNTIFS(Tasks!$B$2:$B$501,$A143,Tasks!$L$2:$L$501,"Completed"))</f>
      </c>
      <c r="S143" s="5">
        <f t="shared" si="8"/>
      </c>
      <c r="T143" s="5">
        <f>IF($A143="","",SUMIFS(Tasks!$T$2:$T$501,Tasks!$B$2:$B$501,$A143))</f>
      </c>
      <c r="U143" s="6">
        <f t="shared" si="9"/>
      </c>
    </row>
    <row r="144" ht="30" customHeight="1" spans="1:21" x14ac:dyDescent="0.25">
      <c r="A144" s="2"/>
      <c r="B144" s="3"/>
      <c r="C144" s="4"/>
      <c r="D144" s="4"/>
      <c r="E144" s="2"/>
      <c r="F144" s="4"/>
      <c r="G144" s="2"/>
      <c r="H144" s="2"/>
      <c r="I144" s="4"/>
      <c r="J144" s="4"/>
      <c r="K144" s="4"/>
      <c r="L144" s="4"/>
      <c r="M144" s="4"/>
      <c r="N144" s="4"/>
      <c r="O144" s="4"/>
      <c r="P144" s="3"/>
      <c r="Q144" s="5">
        <f>IF($A144="","",COUNTIFS(Tasks!$B$2:$B$501,$A144))</f>
      </c>
      <c r="R144" s="5">
        <f>IF($A144="","",COUNTIFS(Tasks!$B$2:$B$501,$A144,Tasks!$L$2:$L$501,"Completed"))</f>
      </c>
      <c r="S144" s="5">
        <f t="shared" si="8"/>
      </c>
      <c r="T144" s="5">
        <f>IF($A144="","",SUMIFS(Tasks!$T$2:$T$501,Tasks!$B$2:$B$501,$A144))</f>
      </c>
      <c r="U144" s="6">
        <f t="shared" si="9"/>
      </c>
    </row>
    <row r="145" ht="30" customHeight="1" spans="1:21" x14ac:dyDescent="0.25">
      <c r="A145" s="2"/>
      <c r="B145" s="3"/>
      <c r="C145" s="4"/>
      <c r="D145" s="4"/>
      <c r="E145" s="2"/>
      <c r="F145" s="4"/>
      <c r="G145" s="2"/>
      <c r="H145" s="2"/>
      <c r="I145" s="4"/>
      <c r="J145" s="4"/>
      <c r="K145" s="4"/>
      <c r="L145" s="4"/>
      <c r="M145" s="4"/>
      <c r="N145" s="4"/>
      <c r="O145" s="4"/>
      <c r="P145" s="3"/>
      <c r="Q145" s="5">
        <f>IF($A145="","",COUNTIFS(Tasks!$B$2:$B$501,$A145))</f>
      </c>
      <c r="R145" s="5">
        <f>IF($A145="","",COUNTIFS(Tasks!$B$2:$B$501,$A145,Tasks!$L$2:$L$501,"Completed"))</f>
      </c>
      <c r="S145" s="5">
        <f t="shared" si="8"/>
      </c>
      <c r="T145" s="5">
        <f>IF($A145="","",SUMIFS(Tasks!$T$2:$T$501,Tasks!$B$2:$B$501,$A145))</f>
      </c>
      <c r="U145" s="6">
        <f t="shared" si="9"/>
      </c>
    </row>
    <row r="146" ht="30" customHeight="1" spans="1:21" x14ac:dyDescent="0.25">
      <c r="A146" s="2"/>
      <c r="B146" s="3"/>
      <c r="C146" s="4"/>
      <c r="D146" s="4"/>
      <c r="E146" s="2"/>
      <c r="F146" s="4"/>
      <c r="G146" s="2"/>
      <c r="H146" s="2"/>
      <c r="I146" s="4"/>
      <c r="J146" s="4"/>
      <c r="K146" s="4"/>
      <c r="L146" s="4"/>
      <c r="M146" s="4"/>
      <c r="N146" s="4"/>
      <c r="O146" s="4"/>
      <c r="P146" s="3"/>
      <c r="Q146" s="5">
        <f>IF($A146="","",COUNTIFS(Tasks!$B$2:$B$501,$A146))</f>
      </c>
      <c r="R146" s="5">
        <f>IF($A146="","",COUNTIFS(Tasks!$B$2:$B$501,$A146,Tasks!$L$2:$L$501,"Completed"))</f>
      </c>
      <c r="S146" s="5">
        <f t="shared" si="8"/>
      </c>
      <c r="T146" s="5">
        <f>IF($A146="","",SUMIFS(Tasks!$T$2:$T$501,Tasks!$B$2:$B$501,$A146))</f>
      </c>
      <c r="U146" s="6">
        <f t="shared" si="9"/>
      </c>
    </row>
    <row r="147" ht="30" customHeight="1" spans="1:21" x14ac:dyDescent="0.25">
      <c r="A147" s="2"/>
      <c r="B147" s="3"/>
      <c r="C147" s="4"/>
      <c r="D147" s="4"/>
      <c r="E147" s="2"/>
      <c r="F147" s="4"/>
      <c r="G147" s="2"/>
      <c r="H147" s="2"/>
      <c r="I147" s="4"/>
      <c r="J147" s="4"/>
      <c r="K147" s="4"/>
      <c r="L147" s="4"/>
      <c r="M147" s="4"/>
      <c r="N147" s="4"/>
      <c r="O147" s="4"/>
      <c r="P147" s="3"/>
      <c r="Q147" s="5">
        <f>IF($A147="","",COUNTIFS(Tasks!$B$2:$B$501,$A147))</f>
      </c>
      <c r="R147" s="5">
        <f>IF($A147="","",COUNTIFS(Tasks!$B$2:$B$501,$A147,Tasks!$L$2:$L$501,"Completed"))</f>
      </c>
      <c r="S147" s="5">
        <f t="shared" si="8"/>
      </c>
      <c r="T147" s="5">
        <f>IF($A147="","",SUMIFS(Tasks!$T$2:$T$501,Tasks!$B$2:$B$501,$A147))</f>
      </c>
      <c r="U147" s="6">
        <f t="shared" si="9"/>
      </c>
    </row>
    <row r="148" ht="30" customHeight="1" spans="1:21" x14ac:dyDescent="0.25">
      <c r="A148" s="2"/>
      <c r="B148" s="3"/>
      <c r="C148" s="4"/>
      <c r="D148" s="4"/>
      <c r="E148" s="2"/>
      <c r="F148" s="4"/>
      <c r="G148" s="2"/>
      <c r="H148" s="2"/>
      <c r="I148" s="4"/>
      <c r="J148" s="4"/>
      <c r="K148" s="4"/>
      <c r="L148" s="4"/>
      <c r="M148" s="4"/>
      <c r="N148" s="4"/>
      <c r="O148" s="4"/>
      <c r="P148" s="3"/>
      <c r="Q148" s="5">
        <f>IF($A148="","",COUNTIFS(Tasks!$B$2:$B$501,$A148))</f>
      </c>
      <c r="R148" s="5">
        <f>IF($A148="","",COUNTIFS(Tasks!$B$2:$B$501,$A148,Tasks!$L$2:$L$501,"Completed"))</f>
      </c>
      <c r="S148" s="5">
        <f t="shared" si="8"/>
      </c>
      <c r="T148" s="5">
        <f>IF($A148="","",SUMIFS(Tasks!$T$2:$T$501,Tasks!$B$2:$B$501,$A148))</f>
      </c>
      <c r="U148" s="6">
        <f t="shared" si="9"/>
      </c>
    </row>
    <row r="149" ht="30" customHeight="1" spans="1:21" x14ac:dyDescent="0.25">
      <c r="A149" s="2"/>
      <c r="B149" s="3"/>
      <c r="C149" s="4"/>
      <c r="D149" s="4"/>
      <c r="E149" s="2"/>
      <c r="F149" s="4"/>
      <c r="G149" s="2"/>
      <c r="H149" s="2"/>
      <c r="I149" s="4"/>
      <c r="J149" s="4"/>
      <c r="K149" s="4"/>
      <c r="L149" s="4"/>
      <c r="M149" s="4"/>
      <c r="N149" s="4"/>
      <c r="O149" s="4"/>
      <c r="P149" s="3"/>
      <c r="Q149" s="5">
        <f>IF($A149="","",COUNTIFS(Tasks!$B$2:$B$501,$A149))</f>
      </c>
      <c r="R149" s="5">
        <f>IF($A149="","",COUNTIFS(Tasks!$B$2:$B$501,$A149,Tasks!$L$2:$L$501,"Completed"))</f>
      </c>
      <c r="S149" s="5">
        <f t="shared" si="8"/>
      </c>
      <c r="T149" s="5">
        <f>IF($A149="","",SUMIFS(Tasks!$T$2:$T$501,Tasks!$B$2:$B$501,$A149))</f>
      </c>
      <c r="U149" s="6">
        <f t="shared" si="9"/>
      </c>
    </row>
    <row r="150" ht="30" customHeight="1" spans="1:21" x14ac:dyDescent="0.25">
      <c r="A150" s="2"/>
      <c r="B150" s="3"/>
      <c r="C150" s="4"/>
      <c r="D150" s="4"/>
      <c r="E150" s="2"/>
      <c r="F150" s="4"/>
      <c r="G150" s="2"/>
      <c r="H150" s="2"/>
      <c r="I150" s="4"/>
      <c r="J150" s="4"/>
      <c r="K150" s="4"/>
      <c r="L150" s="4"/>
      <c r="M150" s="4"/>
      <c r="N150" s="4"/>
      <c r="O150" s="4"/>
      <c r="P150" s="3"/>
      <c r="Q150" s="5">
        <f>IF($A150="","",COUNTIFS(Tasks!$B$2:$B$501,$A150))</f>
      </c>
      <c r="R150" s="5">
        <f>IF($A150="","",COUNTIFS(Tasks!$B$2:$B$501,$A150,Tasks!$L$2:$L$501,"Completed"))</f>
      </c>
      <c r="S150" s="5">
        <f t="shared" si="8"/>
      </c>
      <c r="T150" s="5">
        <f>IF($A150="","",SUMIFS(Tasks!$T$2:$T$501,Tasks!$B$2:$B$501,$A150))</f>
      </c>
      <c r="U150" s="6">
        <f t="shared" si="9"/>
      </c>
    </row>
    <row r="151" ht="30" customHeight="1" spans="1:21" x14ac:dyDescent="0.25">
      <c r="A151" s="2"/>
      <c r="B151" s="3"/>
      <c r="C151" s="4"/>
      <c r="D151" s="4"/>
      <c r="E151" s="2"/>
      <c r="F151" s="4"/>
      <c r="G151" s="2"/>
      <c r="H151" s="2"/>
      <c r="I151" s="4"/>
      <c r="J151" s="4"/>
      <c r="K151" s="4"/>
      <c r="L151" s="4"/>
      <c r="M151" s="4"/>
      <c r="N151" s="4"/>
      <c r="O151" s="4"/>
      <c r="P151" s="3"/>
      <c r="Q151" s="5">
        <f>IF($A151="","",COUNTIFS(Tasks!$B$2:$B$501,$A151))</f>
      </c>
      <c r="R151" s="5">
        <f>IF($A151="","",COUNTIFS(Tasks!$B$2:$B$501,$A151,Tasks!$L$2:$L$501,"Completed"))</f>
      </c>
      <c r="S151" s="5">
        <f t="shared" si="8"/>
      </c>
      <c r="T151" s="5">
        <f>IF($A151="","",SUMIFS(Tasks!$T$2:$T$501,Tasks!$B$2:$B$501,$A151))</f>
      </c>
      <c r="U151" s="6">
        <f t="shared" si="9"/>
      </c>
    </row>
    <row r="152" ht="30" customHeight="1" spans="1:21" x14ac:dyDescent="0.25">
      <c r="A152" s="2"/>
      <c r="B152" s="3"/>
      <c r="C152" s="4"/>
      <c r="D152" s="4"/>
      <c r="E152" s="2"/>
      <c r="F152" s="4"/>
      <c r="G152" s="2"/>
      <c r="H152" s="2"/>
      <c r="I152" s="4"/>
      <c r="J152" s="4"/>
      <c r="K152" s="4"/>
      <c r="L152" s="4"/>
      <c r="M152" s="4"/>
      <c r="N152" s="4"/>
      <c r="O152" s="4"/>
      <c r="P152" s="3"/>
      <c r="Q152" s="5">
        <f>IF($A152="","",COUNTIFS(Tasks!$B$2:$B$501,$A152))</f>
      </c>
      <c r="R152" s="5">
        <f>IF($A152="","",COUNTIFS(Tasks!$B$2:$B$501,$A152,Tasks!$L$2:$L$501,"Completed"))</f>
      </c>
      <c r="S152" s="5">
        <f t="shared" si="8"/>
      </c>
      <c r="T152" s="5">
        <f>IF($A152="","",SUMIFS(Tasks!$T$2:$T$501,Tasks!$B$2:$B$501,$A152))</f>
      </c>
      <c r="U152" s="6">
        <f t="shared" si="9"/>
      </c>
    </row>
    <row r="153" ht="30" customHeight="1" spans="1:21" x14ac:dyDescent="0.25">
      <c r="A153" s="2"/>
      <c r="B153" s="3"/>
      <c r="C153" s="4"/>
      <c r="D153" s="4"/>
      <c r="E153" s="2"/>
      <c r="F153" s="4"/>
      <c r="G153" s="2"/>
      <c r="H153" s="2"/>
      <c r="I153" s="4"/>
      <c r="J153" s="4"/>
      <c r="K153" s="4"/>
      <c r="L153" s="4"/>
      <c r="M153" s="4"/>
      <c r="N153" s="4"/>
      <c r="O153" s="4"/>
      <c r="P153" s="3"/>
      <c r="Q153" s="5">
        <f>IF($A153="","",COUNTIFS(Tasks!$B$2:$B$501,$A153))</f>
      </c>
      <c r="R153" s="5">
        <f>IF($A153="","",COUNTIFS(Tasks!$B$2:$B$501,$A153,Tasks!$L$2:$L$501,"Completed"))</f>
      </c>
      <c r="S153" s="5">
        <f t="shared" si="8"/>
      </c>
      <c r="T153" s="5">
        <f>IF($A153="","",SUMIFS(Tasks!$T$2:$T$501,Tasks!$B$2:$B$501,$A153))</f>
      </c>
      <c r="U153" s="6">
        <f t="shared" si="9"/>
      </c>
    </row>
    <row r="154" ht="30" customHeight="1" spans="1:21" x14ac:dyDescent="0.25">
      <c r="A154" s="2"/>
      <c r="B154" s="3"/>
      <c r="C154" s="4"/>
      <c r="D154" s="4"/>
      <c r="E154" s="2"/>
      <c r="F154" s="4"/>
      <c r="G154" s="2"/>
      <c r="H154" s="2"/>
      <c r="I154" s="4"/>
      <c r="J154" s="4"/>
      <c r="K154" s="4"/>
      <c r="L154" s="4"/>
      <c r="M154" s="4"/>
      <c r="N154" s="4"/>
      <c r="O154" s="4"/>
      <c r="P154" s="3"/>
      <c r="Q154" s="5">
        <f>IF($A154="","",COUNTIFS(Tasks!$B$2:$B$501,$A154))</f>
      </c>
      <c r="R154" s="5">
        <f>IF($A154="","",COUNTIFS(Tasks!$B$2:$B$501,$A154,Tasks!$L$2:$L$501,"Completed"))</f>
      </c>
      <c r="S154" s="5">
        <f t="shared" si="8"/>
      </c>
      <c r="T154" s="5">
        <f>IF($A154="","",SUMIFS(Tasks!$T$2:$T$501,Tasks!$B$2:$B$501,$A154))</f>
      </c>
      <c r="U154" s="6">
        <f t="shared" si="9"/>
      </c>
    </row>
    <row r="155" ht="30" customHeight="1" spans="1:21" x14ac:dyDescent="0.25">
      <c r="A155" s="2"/>
      <c r="B155" s="3"/>
      <c r="C155" s="4"/>
      <c r="D155" s="4"/>
      <c r="E155" s="2"/>
      <c r="F155" s="4"/>
      <c r="G155" s="2"/>
      <c r="H155" s="2"/>
      <c r="I155" s="4"/>
      <c r="J155" s="4"/>
      <c r="K155" s="4"/>
      <c r="L155" s="4"/>
      <c r="M155" s="4"/>
      <c r="N155" s="4"/>
      <c r="O155" s="4"/>
      <c r="P155" s="3"/>
      <c r="Q155" s="5">
        <f>IF($A155="","",COUNTIFS(Tasks!$B$2:$B$501,$A155))</f>
      </c>
      <c r="R155" s="5">
        <f>IF($A155="","",COUNTIFS(Tasks!$B$2:$B$501,$A155,Tasks!$L$2:$L$501,"Completed"))</f>
      </c>
      <c r="S155" s="5">
        <f t="shared" si="8"/>
      </c>
      <c r="T155" s="5">
        <f>IF($A155="","",SUMIFS(Tasks!$T$2:$T$501,Tasks!$B$2:$B$501,$A155))</f>
      </c>
      <c r="U155" s="6">
        <f t="shared" si="9"/>
      </c>
    </row>
    <row r="156" ht="30" customHeight="1" spans="1:21" x14ac:dyDescent="0.25">
      <c r="A156" s="2"/>
      <c r="B156" s="3"/>
      <c r="C156" s="4"/>
      <c r="D156" s="4"/>
      <c r="E156" s="2"/>
      <c r="F156" s="4"/>
      <c r="G156" s="2"/>
      <c r="H156" s="2"/>
      <c r="I156" s="4"/>
      <c r="J156" s="4"/>
      <c r="K156" s="4"/>
      <c r="L156" s="4"/>
      <c r="M156" s="4"/>
      <c r="N156" s="4"/>
      <c r="O156" s="4"/>
      <c r="P156" s="3"/>
      <c r="Q156" s="5">
        <f>IF($A156="","",COUNTIFS(Tasks!$B$2:$B$501,$A156))</f>
      </c>
      <c r="R156" s="5">
        <f>IF($A156="","",COUNTIFS(Tasks!$B$2:$B$501,$A156,Tasks!$L$2:$L$501,"Completed"))</f>
      </c>
      <c r="S156" s="5">
        <f t="shared" si="8"/>
      </c>
      <c r="T156" s="5">
        <f>IF($A156="","",SUMIFS(Tasks!$T$2:$T$501,Tasks!$B$2:$B$501,$A156))</f>
      </c>
      <c r="U156" s="6">
        <f t="shared" si="9"/>
      </c>
    </row>
    <row r="157" ht="30" customHeight="1" spans="1:21" x14ac:dyDescent="0.25">
      <c r="A157" s="2"/>
      <c r="B157" s="3"/>
      <c r="C157" s="4"/>
      <c r="D157" s="4"/>
      <c r="E157" s="2"/>
      <c r="F157" s="4"/>
      <c r="G157" s="2"/>
      <c r="H157" s="2"/>
      <c r="I157" s="4"/>
      <c r="J157" s="4"/>
      <c r="K157" s="4"/>
      <c r="L157" s="4"/>
      <c r="M157" s="4"/>
      <c r="N157" s="4"/>
      <c r="O157" s="4"/>
      <c r="P157" s="3"/>
      <c r="Q157" s="5">
        <f>IF($A157="","",COUNTIFS(Tasks!$B$2:$B$501,$A157))</f>
      </c>
      <c r="R157" s="5">
        <f>IF($A157="","",COUNTIFS(Tasks!$B$2:$B$501,$A157,Tasks!$L$2:$L$501,"Completed"))</f>
      </c>
      <c r="S157" s="5">
        <f t="shared" si="8"/>
      </c>
      <c r="T157" s="5">
        <f>IF($A157="","",SUMIFS(Tasks!$T$2:$T$501,Tasks!$B$2:$B$501,$A157))</f>
      </c>
      <c r="U157" s="6">
        <f t="shared" si="9"/>
      </c>
    </row>
    <row r="158" ht="30" customHeight="1" spans="1:21" x14ac:dyDescent="0.25">
      <c r="A158" s="2"/>
      <c r="B158" s="3"/>
      <c r="C158" s="4"/>
      <c r="D158" s="4"/>
      <c r="E158" s="2"/>
      <c r="F158" s="4"/>
      <c r="G158" s="2"/>
      <c r="H158" s="2"/>
      <c r="I158" s="4"/>
      <c r="J158" s="4"/>
      <c r="K158" s="4"/>
      <c r="L158" s="4"/>
      <c r="M158" s="4"/>
      <c r="N158" s="4"/>
      <c r="O158" s="4"/>
      <c r="P158" s="3"/>
      <c r="Q158" s="5">
        <f>IF($A158="","",COUNTIFS(Tasks!$B$2:$B$501,$A158))</f>
      </c>
      <c r="R158" s="5">
        <f>IF($A158="","",COUNTIFS(Tasks!$B$2:$B$501,$A158,Tasks!$L$2:$L$501,"Completed"))</f>
      </c>
      <c r="S158" s="5">
        <f t="shared" si="8"/>
      </c>
      <c r="T158" s="5">
        <f>IF($A158="","",SUMIFS(Tasks!$T$2:$T$501,Tasks!$B$2:$B$501,$A158))</f>
      </c>
      <c r="U158" s="6">
        <f t="shared" si="9"/>
      </c>
    </row>
    <row r="159" ht="30" customHeight="1" spans="1:21" x14ac:dyDescent="0.25">
      <c r="A159" s="2"/>
      <c r="B159" s="3"/>
      <c r="C159" s="4"/>
      <c r="D159" s="4"/>
      <c r="E159" s="2"/>
      <c r="F159" s="4"/>
      <c r="G159" s="2"/>
      <c r="H159" s="2"/>
      <c r="I159" s="4"/>
      <c r="J159" s="4"/>
      <c r="K159" s="4"/>
      <c r="L159" s="4"/>
      <c r="M159" s="4"/>
      <c r="N159" s="4"/>
      <c r="O159" s="4"/>
      <c r="P159" s="3"/>
      <c r="Q159" s="5">
        <f>IF($A159="","",COUNTIFS(Tasks!$B$2:$B$501,$A159))</f>
      </c>
      <c r="R159" s="5">
        <f>IF($A159="","",COUNTIFS(Tasks!$B$2:$B$501,$A159,Tasks!$L$2:$L$501,"Completed"))</f>
      </c>
      <c r="S159" s="5">
        <f t="shared" si="8"/>
      </c>
      <c r="T159" s="5">
        <f>IF($A159="","",SUMIFS(Tasks!$T$2:$T$501,Tasks!$B$2:$B$501,$A159))</f>
      </c>
      <c r="U159" s="6">
        <f t="shared" si="9"/>
      </c>
    </row>
    <row r="160" ht="30" customHeight="1" spans="1:21" x14ac:dyDescent="0.25">
      <c r="A160" s="2"/>
      <c r="B160" s="3"/>
      <c r="C160" s="4"/>
      <c r="D160" s="4"/>
      <c r="E160" s="2"/>
      <c r="F160" s="4"/>
      <c r="G160" s="2"/>
      <c r="H160" s="2"/>
      <c r="I160" s="4"/>
      <c r="J160" s="4"/>
      <c r="K160" s="4"/>
      <c r="L160" s="4"/>
      <c r="M160" s="4"/>
      <c r="N160" s="4"/>
      <c r="O160" s="4"/>
      <c r="P160" s="3"/>
      <c r="Q160" s="5">
        <f>IF($A160="","",COUNTIFS(Tasks!$B$2:$B$501,$A160))</f>
      </c>
      <c r="R160" s="5">
        <f>IF($A160="","",COUNTIFS(Tasks!$B$2:$B$501,$A160,Tasks!$L$2:$L$501,"Completed"))</f>
      </c>
      <c r="S160" s="5">
        <f t="shared" si="8"/>
      </c>
      <c r="T160" s="5">
        <f>IF($A160="","",SUMIFS(Tasks!$T$2:$T$501,Tasks!$B$2:$B$501,$A160))</f>
      </c>
      <c r="U160" s="6">
        <f t="shared" si="9"/>
      </c>
    </row>
    <row r="161" ht="30" customHeight="1" spans="1:21" x14ac:dyDescent="0.25">
      <c r="A161" s="2"/>
      <c r="B161" s="3"/>
      <c r="C161" s="4"/>
      <c r="D161" s="4"/>
      <c r="E161" s="2"/>
      <c r="F161" s="4"/>
      <c r="G161" s="2"/>
      <c r="H161" s="2"/>
      <c r="I161" s="4"/>
      <c r="J161" s="4"/>
      <c r="K161" s="4"/>
      <c r="L161" s="4"/>
      <c r="M161" s="4"/>
      <c r="N161" s="4"/>
      <c r="O161" s="4"/>
      <c r="P161" s="3"/>
      <c r="Q161" s="5">
        <f>IF($A161="","",COUNTIFS(Tasks!$B$2:$B$501,$A161))</f>
      </c>
      <c r="R161" s="5">
        <f>IF($A161="","",COUNTIFS(Tasks!$B$2:$B$501,$A161,Tasks!$L$2:$L$501,"Completed"))</f>
      </c>
      <c r="S161" s="5">
        <f t="shared" si="8"/>
      </c>
      <c r="T161" s="5">
        <f>IF($A161="","",SUMIFS(Tasks!$T$2:$T$501,Tasks!$B$2:$B$501,$A161))</f>
      </c>
      <c r="U161" s="6">
        <f t="shared" si="9"/>
      </c>
    </row>
    <row r="162" ht="30" customHeight="1" spans="1:21" x14ac:dyDescent="0.25">
      <c r="A162" s="2"/>
      <c r="B162" s="3"/>
      <c r="C162" s="4"/>
      <c r="D162" s="4"/>
      <c r="E162" s="2"/>
      <c r="F162" s="4"/>
      <c r="G162" s="2"/>
      <c r="H162" s="2"/>
      <c r="I162" s="4"/>
      <c r="J162" s="4"/>
      <c r="K162" s="4"/>
      <c r="L162" s="4"/>
      <c r="M162" s="4"/>
      <c r="N162" s="4"/>
      <c r="O162" s="4"/>
      <c r="P162" s="3"/>
      <c r="Q162" s="5">
        <f>IF($A162="","",COUNTIFS(Tasks!$B$2:$B$501,$A162))</f>
      </c>
      <c r="R162" s="5">
        <f>IF($A162="","",COUNTIFS(Tasks!$B$2:$B$501,$A162,Tasks!$L$2:$L$501,"Completed"))</f>
      </c>
      <c r="S162" s="5">
        <f t="shared" ref="S162:S193" si="10">IF($A162="","",$Q162-$R162)</f>
      </c>
      <c r="T162" s="5">
        <f>IF($A162="","",SUMIFS(Tasks!$T$2:$T$501,Tasks!$B$2:$B$501,$A162))</f>
      </c>
      <c r="U162" s="6">
        <f t="shared" ref="U162:U193" si="11">IF($A162="","",IF($Q162=0,"",$R162/$Q162))</f>
      </c>
    </row>
    <row r="163" ht="30" customHeight="1" spans="1:21" x14ac:dyDescent="0.25">
      <c r="A163" s="2"/>
      <c r="B163" s="3"/>
      <c r="C163" s="4"/>
      <c r="D163" s="4"/>
      <c r="E163" s="2"/>
      <c r="F163" s="4"/>
      <c r="G163" s="2"/>
      <c r="H163" s="2"/>
      <c r="I163" s="4"/>
      <c r="J163" s="4"/>
      <c r="K163" s="4"/>
      <c r="L163" s="4"/>
      <c r="M163" s="4"/>
      <c r="N163" s="4"/>
      <c r="O163" s="4"/>
      <c r="P163" s="3"/>
      <c r="Q163" s="5">
        <f>IF($A163="","",COUNTIFS(Tasks!$B$2:$B$501,$A163))</f>
      </c>
      <c r="R163" s="5">
        <f>IF($A163="","",COUNTIFS(Tasks!$B$2:$B$501,$A163,Tasks!$L$2:$L$501,"Completed"))</f>
      </c>
      <c r="S163" s="5">
        <f t="shared" si="10"/>
      </c>
      <c r="T163" s="5">
        <f>IF($A163="","",SUMIFS(Tasks!$T$2:$T$501,Tasks!$B$2:$B$501,$A163))</f>
      </c>
      <c r="U163" s="6">
        <f t="shared" si="11"/>
      </c>
    </row>
    <row r="164" ht="30" customHeight="1" spans="1:21" x14ac:dyDescent="0.25">
      <c r="A164" s="2"/>
      <c r="B164" s="3"/>
      <c r="C164" s="4"/>
      <c r="D164" s="4"/>
      <c r="E164" s="2"/>
      <c r="F164" s="4"/>
      <c r="G164" s="2"/>
      <c r="H164" s="2"/>
      <c r="I164" s="4"/>
      <c r="J164" s="4"/>
      <c r="K164" s="4"/>
      <c r="L164" s="4"/>
      <c r="M164" s="4"/>
      <c r="N164" s="4"/>
      <c r="O164" s="4"/>
      <c r="P164" s="3"/>
      <c r="Q164" s="5">
        <f>IF($A164="","",COUNTIFS(Tasks!$B$2:$B$501,$A164))</f>
      </c>
      <c r="R164" s="5">
        <f>IF($A164="","",COUNTIFS(Tasks!$B$2:$B$501,$A164,Tasks!$L$2:$L$501,"Completed"))</f>
      </c>
      <c r="S164" s="5">
        <f t="shared" si="10"/>
      </c>
      <c r="T164" s="5">
        <f>IF($A164="","",SUMIFS(Tasks!$T$2:$T$501,Tasks!$B$2:$B$501,$A164))</f>
      </c>
      <c r="U164" s="6">
        <f t="shared" si="11"/>
      </c>
    </row>
    <row r="165" ht="30" customHeight="1" spans="1:21" x14ac:dyDescent="0.25">
      <c r="A165" s="2"/>
      <c r="B165" s="3"/>
      <c r="C165" s="4"/>
      <c r="D165" s="4"/>
      <c r="E165" s="2"/>
      <c r="F165" s="4"/>
      <c r="G165" s="2"/>
      <c r="H165" s="2"/>
      <c r="I165" s="4"/>
      <c r="J165" s="4"/>
      <c r="K165" s="4"/>
      <c r="L165" s="4"/>
      <c r="M165" s="4"/>
      <c r="N165" s="4"/>
      <c r="O165" s="4"/>
      <c r="P165" s="3"/>
      <c r="Q165" s="5">
        <f>IF($A165="","",COUNTIFS(Tasks!$B$2:$B$501,$A165))</f>
      </c>
      <c r="R165" s="5">
        <f>IF($A165="","",COUNTIFS(Tasks!$B$2:$B$501,$A165,Tasks!$L$2:$L$501,"Completed"))</f>
      </c>
      <c r="S165" s="5">
        <f t="shared" si="10"/>
      </c>
      <c r="T165" s="5">
        <f>IF($A165="","",SUMIFS(Tasks!$T$2:$T$501,Tasks!$B$2:$B$501,$A165))</f>
      </c>
      <c r="U165" s="6">
        <f t="shared" si="11"/>
      </c>
    </row>
    <row r="166" ht="30" customHeight="1" spans="1:21" x14ac:dyDescent="0.25">
      <c r="A166" s="2"/>
      <c r="B166" s="3"/>
      <c r="C166" s="4"/>
      <c r="D166" s="4"/>
      <c r="E166" s="2"/>
      <c r="F166" s="4"/>
      <c r="G166" s="2"/>
      <c r="H166" s="2"/>
      <c r="I166" s="4"/>
      <c r="J166" s="4"/>
      <c r="K166" s="4"/>
      <c r="L166" s="4"/>
      <c r="M166" s="4"/>
      <c r="N166" s="4"/>
      <c r="O166" s="4"/>
      <c r="P166" s="3"/>
      <c r="Q166" s="5">
        <f>IF($A166="","",COUNTIFS(Tasks!$B$2:$B$501,$A166))</f>
      </c>
      <c r="R166" s="5">
        <f>IF($A166="","",COUNTIFS(Tasks!$B$2:$B$501,$A166,Tasks!$L$2:$L$501,"Completed"))</f>
      </c>
      <c r="S166" s="5">
        <f t="shared" si="10"/>
      </c>
      <c r="T166" s="5">
        <f>IF($A166="","",SUMIFS(Tasks!$T$2:$T$501,Tasks!$B$2:$B$501,$A166))</f>
      </c>
      <c r="U166" s="6">
        <f t="shared" si="11"/>
      </c>
    </row>
    <row r="167" ht="30" customHeight="1" spans="1:21" x14ac:dyDescent="0.25">
      <c r="A167" s="2"/>
      <c r="B167" s="3"/>
      <c r="C167" s="4"/>
      <c r="D167" s="4"/>
      <c r="E167" s="2"/>
      <c r="F167" s="4"/>
      <c r="G167" s="2"/>
      <c r="H167" s="2"/>
      <c r="I167" s="4"/>
      <c r="J167" s="4"/>
      <c r="K167" s="4"/>
      <c r="L167" s="4"/>
      <c r="M167" s="4"/>
      <c r="N167" s="4"/>
      <c r="O167" s="4"/>
      <c r="P167" s="3"/>
      <c r="Q167" s="5">
        <f>IF($A167="","",COUNTIFS(Tasks!$B$2:$B$501,$A167))</f>
      </c>
      <c r="R167" s="5">
        <f>IF($A167="","",COUNTIFS(Tasks!$B$2:$B$501,$A167,Tasks!$L$2:$L$501,"Completed"))</f>
      </c>
      <c r="S167" s="5">
        <f t="shared" si="10"/>
      </c>
      <c r="T167" s="5">
        <f>IF($A167="","",SUMIFS(Tasks!$T$2:$T$501,Tasks!$B$2:$B$501,$A167))</f>
      </c>
      <c r="U167" s="6">
        <f t="shared" si="11"/>
      </c>
    </row>
    <row r="168" ht="30" customHeight="1" spans="1:21" x14ac:dyDescent="0.25">
      <c r="A168" s="2"/>
      <c r="B168" s="3"/>
      <c r="C168" s="4"/>
      <c r="D168" s="4"/>
      <c r="E168" s="2"/>
      <c r="F168" s="4"/>
      <c r="G168" s="2"/>
      <c r="H168" s="2"/>
      <c r="I168" s="4"/>
      <c r="J168" s="4"/>
      <c r="K168" s="4"/>
      <c r="L168" s="4"/>
      <c r="M168" s="4"/>
      <c r="N168" s="4"/>
      <c r="O168" s="4"/>
      <c r="P168" s="3"/>
      <c r="Q168" s="5">
        <f>IF($A168="","",COUNTIFS(Tasks!$B$2:$B$501,$A168))</f>
      </c>
      <c r="R168" s="5">
        <f>IF($A168="","",COUNTIFS(Tasks!$B$2:$B$501,$A168,Tasks!$L$2:$L$501,"Completed"))</f>
      </c>
      <c r="S168" s="5">
        <f t="shared" si="10"/>
      </c>
      <c r="T168" s="5">
        <f>IF($A168="","",SUMIFS(Tasks!$T$2:$T$501,Tasks!$B$2:$B$501,$A168))</f>
      </c>
      <c r="U168" s="6">
        <f t="shared" si="11"/>
      </c>
    </row>
    <row r="169" ht="30" customHeight="1" spans="1:21" x14ac:dyDescent="0.25">
      <c r="A169" s="2"/>
      <c r="B169" s="3"/>
      <c r="C169" s="4"/>
      <c r="D169" s="4"/>
      <c r="E169" s="2"/>
      <c r="F169" s="4"/>
      <c r="G169" s="2"/>
      <c r="H169" s="2"/>
      <c r="I169" s="4"/>
      <c r="J169" s="4"/>
      <c r="K169" s="4"/>
      <c r="L169" s="4"/>
      <c r="M169" s="4"/>
      <c r="N169" s="4"/>
      <c r="O169" s="4"/>
      <c r="P169" s="3"/>
      <c r="Q169" s="5">
        <f>IF($A169="","",COUNTIFS(Tasks!$B$2:$B$501,$A169))</f>
      </c>
      <c r="R169" s="5">
        <f>IF($A169="","",COUNTIFS(Tasks!$B$2:$B$501,$A169,Tasks!$L$2:$L$501,"Completed"))</f>
      </c>
      <c r="S169" s="5">
        <f t="shared" si="10"/>
      </c>
      <c r="T169" s="5">
        <f>IF($A169="","",SUMIFS(Tasks!$T$2:$T$501,Tasks!$B$2:$B$501,$A169))</f>
      </c>
      <c r="U169" s="6">
        <f t="shared" si="11"/>
      </c>
    </row>
    <row r="170" ht="30" customHeight="1" spans="1:21" x14ac:dyDescent="0.25">
      <c r="A170" s="2"/>
      <c r="B170" s="3"/>
      <c r="C170" s="4"/>
      <c r="D170" s="4"/>
      <c r="E170" s="2"/>
      <c r="F170" s="4"/>
      <c r="G170" s="2"/>
      <c r="H170" s="2"/>
      <c r="I170" s="4"/>
      <c r="J170" s="4"/>
      <c r="K170" s="4"/>
      <c r="L170" s="4"/>
      <c r="M170" s="4"/>
      <c r="N170" s="4"/>
      <c r="O170" s="4"/>
      <c r="P170" s="3"/>
      <c r="Q170" s="5">
        <f>IF($A170="","",COUNTIFS(Tasks!$B$2:$B$501,$A170))</f>
      </c>
      <c r="R170" s="5">
        <f>IF($A170="","",COUNTIFS(Tasks!$B$2:$B$501,$A170,Tasks!$L$2:$L$501,"Completed"))</f>
      </c>
      <c r="S170" s="5">
        <f t="shared" si="10"/>
      </c>
      <c r="T170" s="5">
        <f>IF($A170="","",SUMIFS(Tasks!$T$2:$T$501,Tasks!$B$2:$B$501,$A170))</f>
      </c>
      <c r="U170" s="6">
        <f t="shared" si="11"/>
      </c>
    </row>
    <row r="171" ht="30" customHeight="1" spans="1:21" x14ac:dyDescent="0.25">
      <c r="A171" s="2"/>
      <c r="B171" s="3"/>
      <c r="C171" s="4"/>
      <c r="D171" s="4"/>
      <c r="E171" s="2"/>
      <c r="F171" s="4"/>
      <c r="G171" s="2"/>
      <c r="H171" s="2"/>
      <c r="I171" s="4"/>
      <c r="J171" s="4"/>
      <c r="K171" s="4"/>
      <c r="L171" s="4"/>
      <c r="M171" s="4"/>
      <c r="N171" s="4"/>
      <c r="O171" s="4"/>
      <c r="P171" s="3"/>
      <c r="Q171" s="5">
        <f>IF($A171="","",COUNTIFS(Tasks!$B$2:$B$501,$A171))</f>
      </c>
      <c r="R171" s="5">
        <f>IF($A171="","",COUNTIFS(Tasks!$B$2:$B$501,$A171,Tasks!$L$2:$L$501,"Completed"))</f>
      </c>
      <c r="S171" s="5">
        <f t="shared" si="10"/>
      </c>
      <c r="T171" s="5">
        <f>IF($A171="","",SUMIFS(Tasks!$T$2:$T$501,Tasks!$B$2:$B$501,$A171))</f>
      </c>
      <c r="U171" s="6">
        <f t="shared" si="11"/>
      </c>
    </row>
    <row r="172" ht="30" customHeight="1" spans="1:21" x14ac:dyDescent="0.25">
      <c r="A172" s="2"/>
      <c r="B172" s="3"/>
      <c r="C172" s="4"/>
      <c r="D172" s="4"/>
      <c r="E172" s="2"/>
      <c r="F172" s="4"/>
      <c r="G172" s="2"/>
      <c r="H172" s="2"/>
      <c r="I172" s="4"/>
      <c r="J172" s="4"/>
      <c r="K172" s="4"/>
      <c r="L172" s="4"/>
      <c r="M172" s="4"/>
      <c r="N172" s="4"/>
      <c r="O172" s="4"/>
      <c r="P172" s="3"/>
      <c r="Q172" s="5">
        <f>IF($A172="","",COUNTIFS(Tasks!$B$2:$B$501,$A172))</f>
      </c>
      <c r="R172" s="5">
        <f>IF($A172="","",COUNTIFS(Tasks!$B$2:$B$501,$A172,Tasks!$L$2:$L$501,"Completed"))</f>
      </c>
      <c r="S172" s="5">
        <f t="shared" si="10"/>
      </c>
      <c r="T172" s="5">
        <f>IF($A172="","",SUMIFS(Tasks!$T$2:$T$501,Tasks!$B$2:$B$501,$A172))</f>
      </c>
      <c r="U172" s="6">
        <f t="shared" si="11"/>
      </c>
    </row>
    <row r="173" ht="30" customHeight="1" spans="1:21" x14ac:dyDescent="0.25">
      <c r="A173" s="2"/>
      <c r="B173" s="3"/>
      <c r="C173" s="4"/>
      <c r="D173" s="4"/>
      <c r="E173" s="2"/>
      <c r="F173" s="4"/>
      <c r="G173" s="2"/>
      <c r="H173" s="2"/>
      <c r="I173" s="4"/>
      <c r="J173" s="4"/>
      <c r="K173" s="4"/>
      <c r="L173" s="4"/>
      <c r="M173" s="4"/>
      <c r="N173" s="4"/>
      <c r="O173" s="4"/>
      <c r="P173" s="3"/>
      <c r="Q173" s="5">
        <f>IF($A173="","",COUNTIFS(Tasks!$B$2:$B$501,$A173))</f>
      </c>
      <c r="R173" s="5">
        <f>IF($A173="","",COUNTIFS(Tasks!$B$2:$B$501,$A173,Tasks!$L$2:$L$501,"Completed"))</f>
      </c>
      <c r="S173" s="5">
        <f t="shared" si="10"/>
      </c>
      <c r="T173" s="5">
        <f>IF($A173="","",SUMIFS(Tasks!$T$2:$T$501,Tasks!$B$2:$B$501,$A173))</f>
      </c>
      <c r="U173" s="6">
        <f t="shared" si="11"/>
      </c>
    </row>
    <row r="174" ht="30" customHeight="1" spans="1:21" x14ac:dyDescent="0.25">
      <c r="A174" s="2"/>
      <c r="B174" s="3"/>
      <c r="C174" s="4"/>
      <c r="D174" s="4"/>
      <c r="E174" s="2"/>
      <c r="F174" s="4"/>
      <c r="G174" s="2"/>
      <c r="H174" s="2"/>
      <c r="I174" s="4"/>
      <c r="J174" s="4"/>
      <c r="K174" s="4"/>
      <c r="L174" s="4"/>
      <c r="M174" s="4"/>
      <c r="N174" s="4"/>
      <c r="O174" s="4"/>
      <c r="P174" s="3"/>
      <c r="Q174" s="5">
        <f>IF($A174="","",COUNTIFS(Tasks!$B$2:$B$501,$A174))</f>
      </c>
      <c r="R174" s="5">
        <f>IF($A174="","",COUNTIFS(Tasks!$B$2:$B$501,$A174,Tasks!$L$2:$L$501,"Completed"))</f>
      </c>
      <c r="S174" s="5">
        <f t="shared" si="10"/>
      </c>
      <c r="T174" s="5">
        <f>IF($A174="","",SUMIFS(Tasks!$T$2:$T$501,Tasks!$B$2:$B$501,$A174))</f>
      </c>
      <c r="U174" s="6">
        <f t="shared" si="11"/>
      </c>
    </row>
    <row r="175" ht="30" customHeight="1" spans="1:21" x14ac:dyDescent="0.25">
      <c r="A175" s="2"/>
      <c r="B175" s="3"/>
      <c r="C175" s="4"/>
      <c r="D175" s="4"/>
      <c r="E175" s="2"/>
      <c r="F175" s="4"/>
      <c r="G175" s="2"/>
      <c r="H175" s="2"/>
      <c r="I175" s="4"/>
      <c r="J175" s="4"/>
      <c r="K175" s="4"/>
      <c r="L175" s="4"/>
      <c r="M175" s="4"/>
      <c r="N175" s="4"/>
      <c r="O175" s="4"/>
      <c r="P175" s="3"/>
      <c r="Q175" s="5">
        <f>IF($A175="","",COUNTIFS(Tasks!$B$2:$B$501,$A175))</f>
      </c>
      <c r="R175" s="5">
        <f>IF($A175="","",COUNTIFS(Tasks!$B$2:$B$501,$A175,Tasks!$L$2:$L$501,"Completed"))</f>
      </c>
      <c r="S175" s="5">
        <f t="shared" si="10"/>
      </c>
      <c r="T175" s="5">
        <f>IF($A175="","",SUMIFS(Tasks!$T$2:$T$501,Tasks!$B$2:$B$501,$A175))</f>
      </c>
      <c r="U175" s="6">
        <f t="shared" si="11"/>
      </c>
    </row>
    <row r="176" ht="30" customHeight="1" spans="1:21" x14ac:dyDescent="0.25">
      <c r="A176" s="2"/>
      <c r="B176" s="3"/>
      <c r="C176" s="4"/>
      <c r="D176" s="4"/>
      <c r="E176" s="2"/>
      <c r="F176" s="4"/>
      <c r="G176" s="2"/>
      <c r="H176" s="2"/>
      <c r="I176" s="4"/>
      <c r="J176" s="4"/>
      <c r="K176" s="4"/>
      <c r="L176" s="4"/>
      <c r="M176" s="4"/>
      <c r="N176" s="4"/>
      <c r="O176" s="4"/>
      <c r="P176" s="3"/>
      <c r="Q176" s="5">
        <f>IF($A176="","",COUNTIFS(Tasks!$B$2:$B$501,$A176))</f>
      </c>
      <c r="R176" s="5">
        <f>IF($A176="","",COUNTIFS(Tasks!$B$2:$B$501,$A176,Tasks!$L$2:$L$501,"Completed"))</f>
      </c>
      <c r="S176" s="5">
        <f t="shared" si="10"/>
      </c>
      <c r="T176" s="5">
        <f>IF($A176="","",SUMIFS(Tasks!$T$2:$T$501,Tasks!$B$2:$B$501,$A176))</f>
      </c>
      <c r="U176" s="6">
        <f t="shared" si="11"/>
      </c>
    </row>
    <row r="177" ht="30" customHeight="1" spans="1:21" x14ac:dyDescent="0.25">
      <c r="A177" s="2"/>
      <c r="B177" s="3"/>
      <c r="C177" s="4"/>
      <c r="D177" s="4"/>
      <c r="E177" s="2"/>
      <c r="F177" s="4"/>
      <c r="G177" s="2"/>
      <c r="H177" s="2"/>
      <c r="I177" s="4"/>
      <c r="J177" s="4"/>
      <c r="K177" s="4"/>
      <c r="L177" s="4"/>
      <c r="M177" s="4"/>
      <c r="N177" s="4"/>
      <c r="O177" s="4"/>
      <c r="P177" s="3"/>
      <c r="Q177" s="5">
        <f>IF($A177="","",COUNTIFS(Tasks!$B$2:$B$501,$A177))</f>
      </c>
      <c r="R177" s="5">
        <f>IF($A177="","",COUNTIFS(Tasks!$B$2:$B$501,$A177,Tasks!$L$2:$L$501,"Completed"))</f>
      </c>
      <c r="S177" s="5">
        <f t="shared" si="10"/>
      </c>
      <c r="T177" s="5">
        <f>IF($A177="","",SUMIFS(Tasks!$T$2:$T$501,Tasks!$B$2:$B$501,$A177))</f>
      </c>
      <c r="U177" s="6">
        <f t="shared" si="11"/>
      </c>
    </row>
    <row r="178" ht="30" customHeight="1" spans="1:21" x14ac:dyDescent="0.25">
      <c r="A178" s="2"/>
      <c r="B178" s="3"/>
      <c r="C178" s="4"/>
      <c r="D178" s="4"/>
      <c r="E178" s="2"/>
      <c r="F178" s="4"/>
      <c r="G178" s="2"/>
      <c r="H178" s="2"/>
      <c r="I178" s="4"/>
      <c r="J178" s="4"/>
      <c r="K178" s="4"/>
      <c r="L178" s="4"/>
      <c r="M178" s="4"/>
      <c r="N178" s="4"/>
      <c r="O178" s="4"/>
      <c r="P178" s="3"/>
      <c r="Q178" s="5">
        <f>IF($A178="","",COUNTIFS(Tasks!$B$2:$B$501,$A178))</f>
      </c>
      <c r="R178" s="5">
        <f>IF($A178="","",COUNTIFS(Tasks!$B$2:$B$501,$A178,Tasks!$L$2:$L$501,"Completed"))</f>
      </c>
      <c r="S178" s="5">
        <f t="shared" si="10"/>
      </c>
      <c r="T178" s="5">
        <f>IF($A178="","",SUMIFS(Tasks!$T$2:$T$501,Tasks!$B$2:$B$501,$A178))</f>
      </c>
      <c r="U178" s="6">
        <f t="shared" si="11"/>
      </c>
    </row>
    <row r="179" ht="30" customHeight="1" spans="1:21" x14ac:dyDescent="0.25">
      <c r="A179" s="2"/>
      <c r="B179" s="3"/>
      <c r="C179" s="4"/>
      <c r="D179" s="4"/>
      <c r="E179" s="2"/>
      <c r="F179" s="4"/>
      <c r="G179" s="2"/>
      <c r="H179" s="2"/>
      <c r="I179" s="4"/>
      <c r="J179" s="4"/>
      <c r="K179" s="4"/>
      <c r="L179" s="4"/>
      <c r="M179" s="4"/>
      <c r="N179" s="4"/>
      <c r="O179" s="4"/>
      <c r="P179" s="3"/>
      <c r="Q179" s="5">
        <f>IF($A179="","",COUNTIFS(Tasks!$B$2:$B$501,$A179))</f>
      </c>
      <c r="R179" s="5">
        <f>IF($A179="","",COUNTIFS(Tasks!$B$2:$B$501,$A179,Tasks!$L$2:$L$501,"Completed"))</f>
      </c>
      <c r="S179" s="5">
        <f t="shared" si="10"/>
      </c>
      <c r="T179" s="5">
        <f>IF($A179="","",SUMIFS(Tasks!$T$2:$T$501,Tasks!$B$2:$B$501,$A179))</f>
      </c>
      <c r="U179" s="6">
        <f t="shared" si="11"/>
      </c>
    </row>
    <row r="180" ht="30" customHeight="1" spans="1:21" x14ac:dyDescent="0.25">
      <c r="A180" s="2"/>
      <c r="B180" s="3"/>
      <c r="C180" s="4"/>
      <c r="D180" s="4"/>
      <c r="E180" s="2"/>
      <c r="F180" s="4"/>
      <c r="G180" s="2"/>
      <c r="H180" s="2"/>
      <c r="I180" s="4"/>
      <c r="J180" s="4"/>
      <c r="K180" s="4"/>
      <c r="L180" s="4"/>
      <c r="M180" s="4"/>
      <c r="N180" s="4"/>
      <c r="O180" s="4"/>
      <c r="P180" s="3"/>
      <c r="Q180" s="5">
        <f>IF($A180="","",COUNTIFS(Tasks!$B$2:$B$501,$A180))</f>
      </c>
      <c r="R180" s="5">
        <f>IF($A180="","",COUNTIFS(Tasks!$B$2:$B$501,$A180,Tasks!$L$2:$L$501,"Completed"))</f>
      </c>
      <c r="S180" s="5">
        <f t="shared" si="10"/>
      </c>
      <c r="T180" s="5">
        <f>IF($A180="","",SUMIFS(Tasks!$T$2:$T$501,Tasks!$B$2:$B$501,$A180))</f>
      </c>
      <c r="U180" s="6">
        <f t="shared" si="11"/>
      </c>
    </row>
    <row r="181" ht="30" customHeight="1" spans="1:21" x14ac:dyDescent="0.25">
      <c r="A181" s="2"/>
      <c r="B181" s="3"/>
      <c r="C181" s="4"/>
      <c r="D181" s="4"/>
      <c r="E181" s="2"/>
      <c r="F181" s="4"/>
      <c r="G181" s="2"/>
      <c r="H181" s="2"/>
      <c r="I181" s="4"/>
      <c r="J181" s="4"/>
      <c r="K181" s="4"/>
      <c r="L181" s="4"/>
      <c r="M181" s="4"/>
      <c r="N181" s="4"/>
      <c r="O181" s="4"/>
      <c r="P181" s="3"/>
      <c r="Q181" s="5">
        <f>IF($A181="","",COUNTIFS(Tasks!$B$2:$B$501,$A181))</f>
      </c>
      <c r="R181" s="5">
        <f>IF($A181="","",COUNTIFS(Tasks!$B$2:$B$501,$A181,Tasks!$L$2:$L$501,"Completed"))</f>
      </c>
      <c r="S181" s="5">
        <f t="shared" si="10"/>
      </c>
      <c r="T181" s="5">
        <f>IF($A181="","",SUMIFS(Tasks!$T$2:$T$501,Tasks!$B$2:$B$501,$A181))</f>
      </c>
      <c r="U181" s="6">
        <f t="shared" si="11"/>
      </c>
    </row>
    <row r="182" ht="30" customHeight="1" spans="1:21" x14ac:dyDescent="0.25">
      <c r="A182" s="2"/>
      <c r="B182" s="3"/>
      <c r="C182" s="4"/>
      <c r="D182" s="4"/>
      <c r="E182" s="2"/>
      <c r="F182" s="4"/>
      <c r="G182" s="2"/>
      <c r="H182" s="2"/>
      <c r="I182" s="4"/>
      <c r="J182" s="4"/>
      <c r="K182" s="4"/>
      <c r="L182" s="4"/>
      <c r="M182" s="4"/>
      <c r="N182" s="4"/>
      <c r="O182" s="4"/>
      <c r="P182" s="3"/>
      <c r="Q182" s="5">
        <f>IF($A182="","",COUNTIFS(Tasks!$B$2:$B$501,$A182))</f>
      </c>
      <c r="R182" s="5">
        <f>IF($A182="","",COUNTIFS(Tasks!$B$2:$B$501,$A182,Tasks!$L$2:$L$501,"Completed"))</f>
      </c>
      <c r="S182" s="5">
        <f t="shared" si="10"/>
      </c>
      <c r="T182" s="5">
        <f>IF($A182="","",SUMIFS(Tasks!$T$2:$T$501,Tasks!$B$2:$B$501,$A182))</f>
      </c>
      <c r="U182" s="6">
        <f t="shared" si="11"/>
      </c>
    </row>
    <row r="183" ht="30" customHeight="1" spans="1:21" x14ac:dyDescent="0.25">
      <c r="A183" s="2"/>
      <c r="B183" s="3"/>
      <c r="C183" s="4"/>
      <c r="D183" s="4"/>
      <c r="E183" s="2"/>
      <c r="F183" s="4"/>
      <c r="G183" s="2"/>
      <c r="H183" s="2"/>
      <c r="I183" s="4"/>
      <c r="J183" s="4"/>
      <c r="K183" s="4"/>
      <c r="L183" s="4"/>
      <c r="M183" s="4"/>
      <c r="N183" s="4"/>
      <c r="O183" s="4"/>
      <c r="P183" s="3"/>
      <c r="Q183" s="5">
        <f>IF($A183="","",COUNTIFS(Tasks!$B$2:$B$501,$A183))</f>
      </c>
      <c r="R183" s="5">
        <f>IF($A183="","",COUNTIFS(Tasks!$B$2:$B$501,$A183,Tasks!$L$2:$L$501,"Completed"))</f>
      </c>
      <c r="S183" s="5">
        <f t="shared" si="10"/>
      </c>
      <c r="T183" s="5">
        <f>IF($A183="","",SUMIFS(Tasks!$T$2:$T$501,Tasks!$B$2:$B$501,$A183))</f>
      </c>
      <c r="U183" s="6">
        <f t="shared" si="11"/>
      </c>
    </row>
    <row r="184" ht="30" customHeight="1" spans="1:21" x14ac:dyDescent="0.25">
      <c r="A184" s="2"/>
      <c r="B184" s="3"/>
      <c r="C184" s="4"/>
      <c r="D184" s="4"/>
      <c r="E184" s="2"/>
      <c r="F184" s="4"/>
      <c r="G184" s="2"/>
      <c r="H184" s="2"/>
      <c r="I184" s="4"/>
      <c r="J184" s="4"/>
      <c r="K184" s="4"/>
      <c r="L184" s="4"/>
      <c r="M184" s="4"/>
      <c r="N184" s="4"/>
      <c r="O184" s="4"/>
      <c r="P184" s="3"/>
      <c r="Q184" s="5">
        <f>IF($A184="","",COUNTIFS(Tasks!$B$2:$B$501,$A184))</f>
      </c>
      <c r="R184" s="5">
        <f>IF($A184="","",COUNTIFS(Tasks!$B$2:$B$501,$A184,Tasks!$L$2:$L$501,"Completed"))</f>
      </c>
      <c r="S184" s="5">
        <f t="shared" si="10"/>
      </c>
      <c r="T184" s="5">
        <f>IF($A184="","",SUMIFS(Tasks!$T$2:$T$501,Tasks!$B$2:$B$501,$A184))</f>
      </c>
      <c r="U184" s="6">
        <f t="shared" si="11"/>
      </c>
    </row>
    <row r="185" ht="30" customHeight="1" spans="1:21" x14ac:dyDescent="0.25">
      <c r="A185" s="2"/>
      <c r="B185" s="3"/>
      <c r="C185" s="4"/>
      <c r="D185" s="4"/>
      <c r="E185" s="2"/>
      <c r="F185" s="4"/>
      <c r="G185" s="2"/>
      <c r="H185" s="2"/>
      <c r="I185" s="4"/>
      <c r="J185" s="4"/>
      <c r="K185" s="4"/>
      <c r="L185" s="4"/>
      <c r="M185" s="4"/>
      <c r="N185" s="4"/>
      <c r="O185" s="4"/>
      <c r="P185" s="3"/>
      <c r="Q185" s="5">
        <f>IF($A185="","",COUNTIFS(Tasks!$B$2:$B$501,$A185))</f>
      </c>
      <c r="R185" s="5">
        <f>IF($A185="","",COUNTIFS(Tasks!$B$2:$B$501,$A185,Tasks!$L$2:$L$501,"Completed"))</f>
      </c>
      <c r="S185" s="5">
        <f t="shared" si="10"/>
      </c>
      <c r="T185" s="5">
        <f>IF($A185="","",SUMIFS(Tasks!$T$2:$T$501,Tasks!$B$2:$B$501,$A185))</f>
      </c>
      <c r="U185" s="6">
        <f t="shared" si="11"/>
      </c>
    </row>
    <row r="186" ht="30" customHeight="1" spans="1:21" x14ac:dyDescent="0.25">
      <c r="A186" s="2"/>
      <c r="B186" s="3"/>
      <c r="C186" s="4"/>
      <c r="D186" s="4"/>
      <c r="E186" s="2"/>
      <c r="F186" s="4"/>
      <c r="G186" s="2"/>
      <c r="H186" s="2"/>
      <c r="I186" s="4"/>
      <c r="J186" s="4"/>
      <c r="K186" s="4"/>
      <c r="L186" s="4"/>
      <c r="M186" s="4"/>
      <c r="N186" s="4"/>
      <c r="O186" s="4"/>
      <c r="P186" s="3"/>
      <c r="Q186" s="5">
        <f>IF($A186="","",COUNTIFS(Tasks!$B$2:$B$501,$A186))</f>
      </c>
      <c r="R186" s="5">
        <f>IF($A186="","",COUNTIFS(Tasks!$B$2:$B$501,$A186,Tasks!$L$2:$L$501,"Completed"))</f>
      </c>
      <c r="S186" s="5">
        <f t="shared" si="10"/>
      </c>
      <c r="T186" s="5">
        <f>IF($A186="","",SUMIFS(Tasks!$T$2:$T$501,Tasks!$B$2:$B$501,$A186))</f>
      </c>
      <c r="U186" s="6">
        <f t="shared" si="11"/>
      </c>
    </row>
    <row r="187" ht="30" customHeight="1" spans="1:21" x14ac:dyDescent="0.25">
      <c r="A187" s="2"/>
      <c r="B187" s="3"/>
      <c r="C187" s="4"/>
      <c r="D187" s="4"/>
      <c r="E187" s="2"/>
      <c r="F187" s="4"/>
      <c r="G187" s="2"/>
      <c r="H187" s="2"/>
      <c r="I187" s="4"/>
      <c r="J187" s="4"/>
      <c r="K187" s="4"/>
      <c r="L187" s="4"/>
      <c r="M187" s="4"/>
      <c r="N187" s="4"/>
      <c r="O187" s="4"/>
      <c r="P187" s="3"/>
      <c r="Q187" s="5">
        <f>IF($A187="","",COUNTIFS(Tasks!$B$2:$B$501,$A187))</f>
      </c>
      <c r="R187" s="5">
        <f>IF($A187="","",COUNTIFS(Tasks!$B$2:$B$501,$A187,Tasks!$L$2:$L$501,"Completed"))</f>
      </c>
      <c r="S187" s="5">
        <f t="shared" si="10"/>
      </c>
      <c r="T187" s="5">
        <f>IF($A187="","",SUMIFS(Tasks!$T$2:$T$501,Tasks!$B$2:$B$501,$A187))</f>
      </c>
      <c r="U187" s="6">
        <f t="shared" si="11"/>
      </c>
    </row>
    <row r="188" ht="30" customHeight="1" spans="1:21" x14ac:dyDescent="0.25">
      <c r="A188" s="2"/>
      <c r="B188" s="3"/>
      <c r="C188" s="4"/>
      <c r="D188" s="4"/>
      <c r="E188" s="2"/>
      <c r="F188" s="4"/>
      <c r="G188" s="2"/>
      <c r="H188" s="2"/>
      <c r="I188" s="4"/>
      <c r="J188" s="4"/>
      <c r="K188" s="4"/>
      <c r="L188" s="4"/>
      <c r="M188" s="4"/>
      <c r="N188" s="4"/>
      <c r="O188" s="4"/>
      <c r="P188" s="3"/>
      <c r="Q188" s="5">
        <f>IF($A188="","",COUNTIFS(Tasks!$B$2:$B$501,$A188))</f>
      </c>
      <c r="R188" s="5">
        <f>IF($A188="","",COUNTIFS(Tasks!$B$2:$B$501,$A188,Tasks!$L$2:$L$501,"Completed"))</f>
      </c>
      <c r="S188" s="5">
        <f t="shared" si="10"/>
      </c>
      <c r="T188" s="5">
        <f>IF($A188="","",SUMIFS(Tasks!$T$2:$T$501,Tasks!$B$2:$B$501,$A188))</f>
      </c>
      <c r="U188" s="6">
        <f t="shared" si="11"/>
      </c>
    </row>
    <row r="189" ht="30" customHeight="1" spans="1:21" x14ac:dyDescent="0.25">
      <c r="A189" s="2"/>
      <c r="B189" s="3"/>
      <c r="C189" s="4"/>
      <c r="D189" s="4"/>
      <c r="E189" s="2"/>
      <c r="F189" s="4"/>
      <c r="G189" s="2"/>
      <c r="H189" s="2"/>
      <c r="I189" s="4"/>
      <c r="J189" s="4"/>
      <c r="K189" s="4"/>
      <c r="L189" s="4"/>
      <c r="M189" s="4"/>
      <c r="N189" s="4"/>
      <c r="O189" s="4"/>
      <c r="P189" s="3"/>
      <c r="Q189" s="5">
        <f>IF($A189="","",COUNTIFS(Tasks!$B$2:$B$501,$A189))</f>
      </c>
      <c r="R189" s="5">
        <f>IF($A189="","",COUNTIFS(Tasks!$B$2:$B$501,$A189,Tasks!$L$2:$L$501,"Completed"))</f>
      </c>
      <c r="S189" s="5">
        <f t="shared" si="10"/>
      </c>
      <c r="T189" s="5">
        <f>IF($A189="","",SUMIFS(Tasks!$T$2:$T$501,Tasks!$B$2:$B$501,$A189))</f>
      </c>
      <c r="U189" s="6">
        <f t="shared" si="11"/>
      </c>
    </row>
    <row r="190" ht="30" customHeight="1" spans="1:21" x14ac:dyDescent="0.25">
      <c r="A190" s="2"/>
      <c r="B190" s="3"/>
      <c r="C190" s="4"/>
      <c r="D190" s="4"/>
      <c r="E190" s="2"/>
      <c r="F190" s="4"/>
      <c r="G190" s="2"/>
      <c r="H190" s="2"/>
      <c r="I190" s="4"/>
      <c r="J190" s="4"/>
      <c r="K190" s="4"/>
      <c r="L190" s="4"/>
      <c r="M190" s="4"/>
      <c r="N190" s="4"/>
      <c r="O190" s="4"/>
      <c r="P190" s="3"/>
      <c r="Q190" s="5">
        <f>IF($A190="","",COUNTIFS(Tasks!$B$2:$B$501,$A190))</f>
      </c>
      <c r="R190" s="5">
        <f>IF($A190="","",COUNTIFS(Tasks!$B$2:$B$501,$A190,Tasks!$L$2:$L$501,"Completed"))</f>
      </c>
      <c r="S190" s="5">
        <f t="shared" si="10"/>
      </c>
      <c r="T190" s="5">
        <f>IF($A190="","",SUMIFS(Tasks!$T$2:$T$501,Tasks!$B$2:$B$501,$A190))</f>
      </c>
      <c r="U190" s="6">
        <f t="shared" si="11"/>
      </c>
    </row>
    <row r="191" ht="30" customHeight="1" spans="1:21" x14ac:dyDescent="0.25">
      <c r="A191" s="2"/>
      <c r="B191" s="3"/>
      <c r="C191" s="4"/>
      <c r="D191" s="4"/>
      <c r="E191" s="2"/>
      <c r="F191" s="4"/>
      <c r="G191" s="2"/>
      <c r="H191" s="2"/>
      <c r="I191" s="4"/>
      <c r="J191" s="4"/>
      <c r="K191" s="4"/>
      <c r="L191" s="4"/>
      <c r="M191" s="4"/>
      <c r="N191" s="4"/>
      <c r="O191" s="4"/>
      <c r="P191" s="3"/>
      <c r="Q191" s="5">
        <f>IF($A191="","",COUNTIFS(Tasks!$B$2:$B$501,$A191))</f>
      </c>
      <c r="R191" s="5">
        <f>IF($A191="","",COUNTIFS(Tasks!$B$2:$B$501,$A191,Tasks!$L$2:$L$501,"Completed"))</f>
      </c>
      <c r="S191" s="5">
        <f t="shared" si="10"/>
      </c>
      <c r="T191" s="5">
        <f>IF($A191="","",SUMIFS(Tasks!$T$2:$T$501,Tasks!$B$2:$B$501,$A191))</f>
      </c>
      <c r="U191" s="6">
        <f t="shared" si="11"/>
      </c>
    </row>
    <row r="192" ht="30" customHeight="1" spans="1:21" x14ac:dyDescent="0.25">
      <c r="A192" s="2"/>
      <c r="B192" s="3"/>
      <c r="C192" s="4"/>
      <c r="D192" s="4"/>
      <c r="E192" s="2"/>
      <c r="F192" s="4"/>
      <c r="G192" s="2"/>
      <c r="H192" s="2"/>
      <c r="I192" s="4"/>
      <c r="J192" s="4"/>
      <c r="K192" s="4"/>
      <c r="L192" s="4"/>
      <c r="M192" s="4"/>
      <c r="N192" s="4"/>
      <c r="O192" s="4"/>
      <c r="P192" s="3"/>
      <c r="Q192" s="5">
        <f>IF($A192="","",COUNTIFS(Tasks!$B$2:$B$501,$A192))</f>
      </c>
      <c r="R192" s="5">
        <f>IF($A192="","",COUNTIFS(Tasks!$B$2:$B$501,$A192,Tasks!$L$2:$L$501,"Completed"))</f>
      </c>
      <c r="S192" s="5">
        <f t="shared" si="10"/>
      </c>
      <c r="T192" s="5">
        <f>IF($A192="","",SUMIFS(Tasks!$T$2:$T$501,Tasks!$B$2:$B$501,$A192))</f>
      </c>
      <c r="U192" s="6">
        <f t="shared" si="11"/>
      </c>
    </row>
    <row r="193" ht="30" customHeight="1" spans="1:21" x14ac:dyDescent="0.25">
      <c r="A193" s="2"/>
      <c r="B193" s="3"/>
      <c r="C193" s="4"/>
      <c r="D193" s="4"/>
      <c r="E193" s="2"/>
      <c r="F193" s="4"/>
      <c r="G193" s="2"/>
      <c r="H193" s="2"/>
      <c r="I193" s="4"/>
      <c r="J193" s="4"/>
      <c r="K193" s="4"/>
      <c r="L193" s="4"/>
      <c r="M193" s="4"/>
      <c r="N193" s="4"/>
      <c r="O193" s="4"/>
      <c r="P193" s="3"/>
      <c r="Q193" s="5">
        <f>IF($A193="","",COUNTIFS(Tasks!$B$2:$B$501,$A193))</f>
      </c>
      <c r="R193" s="5">
        <f>IF($A193="","",COUNTIFS(Tasks!$B$2:$B$501,$A193,Tasks!$L$2:$L$501,"Completed"))</f>
      </c>
      <c r="S193" s="5">
        <f t="shared" si="10"/>
      </c>
      <c r="T193" s="5">
        <f>IF($A193="","",SUMIFS(Tasks!$T$2:$T$501,Tasks!$B$2:$B$501,$A193))</f>
      </c>
      <c r="U193" s="6">
        <f t="shared" si="11"/>
      </c>
    </row>
    <row r="194" ht="30" customHeight="1" spans="1:21" x14ac:dyDescent="0.25">
      <c r="A194" s="2"/>
      <c r="B194" s="3"/>
      <c r="C194" s="4"/>
      <c r="D194" s="4"/>
      <c r="E194" s="2"/>
      <c r="F194" s="4"/>
      <c r="G194" s="2"/>
      <c r="H194" s="2"/>
      <c r="I194" s="4"/>
      <c r="J194" s="4"/>
      <c r="K194" s="4"/>
      <c r="L194" s="4"/>
      <c r="M194" s="4"/>
      <c r="N194" s="4"/>
      <c r="O194" s="4"/>
      <c r="P194" s="3"/>
      <c r="Q194" s="5">
        <f>IF($A194="","",COUNTIFS(Tasks!$B$2:$B$501,$A194))</f>
      </c>
      <c r="R194" s="5">
        <f>IF($A194="","",COUNTIFS(Tasks!$B$2:$B$501,$A194,Tasks!$L$2:$L$501,"Completed"))</f>
      </c>
      <c r="S194" s="5">
        <f t="shared" ref="S194:S201" si="12">IF($A194="","",$Q194-$R194)</f>
      </c>
      <c r="T194" s="5">
        <f>IF($A194="","",SUMIFS(Tasks!$T$2:$T$501,Tasks!$B$2:$B$501,$A194))</f>
      </c>
      <c r="U194" s="6">
        <f t="shared" ref="U194:U201" si="13">IF($A194="","",IF($Q194=0,"",$R194/$Q194))</f>
      </c>
    </row>
    <row r="195" ht="30" customHeight="1" spans="1:21" x14ac:dyDescent="0.25">
      <c r="A195" s="2"/>
      <c r="B195" s="3"/>
      <c r="C195" s="4"/>
      <c r="D195" s="4"/>
      <c r="E195" s="2"/>
      <c r="F195" s="4"/>
      <c r="G195" s="2"/>
      <c r="H195" s="2"/>
      <c r="I195" s="4"/>
      <c r="J195" s="4"/>
      <c r="K195" s="4"/>
      <c r="L195" s="4"/>
      <c r="M195" s="4"/>
      <c r="N195" s="4"/>
      <c r="O195" s="4"/>
      <c r="P195" s="3"/>
      <c r="Q195" s="5">
        <f>IF($A195="","",COUNTIFS(Tasks!$B$2:$B$501,$A195))</f>
      </c>
      <c r="R195" s="5">
        <f>IF($A195="","",COUNTIFS(Tasks!$B$2:$B$501,$A195,Tasks!$L$2:$L$501,"Completed"))</f>
      </c>
      <c r="S195" s="5">
        <f t="shared" si="12"/>
      </c>
      <c r="T195" s="5">
        <f>IF($A195="","",SUMIFS(Tasks!$T$2:$T$501,Tasks!$B$2:$B$501,$A195))</f>
      </c>
      <c r="U195" s="6">
        <f t="shared" si="13"/>
      </c>
    </row>
    <row r="196" ht="30" customHeight="1" spans="1:21" x14ac:dyDescent="0.25">
      <c r="A196" s="2"/>
      <c r="B196" s="3"/>
      <c r="C196" s="4"/>
      <c r="D196" s="4"/>
      <c r="E196" s="2"/>
      <c r="F196" s="4"/>
      <c r="G196" s="2"/>
      <c r="H196" s="2"/>
      <c r="I196" s="4"/>
      <c r="J196" s="4"/>
      <c r="K196" s="4"/>
      <c r="L196" s="4"/>
      <c r="M196" s="4"/>
      <c r="N196" s="4"/>
      <c r="O196" s="4"/>
      <c r="P196" s="3"/>
      <c r="Q196" s="5">
        <f>IF($A196="","",COUNTIFS(Tasks!$B$2:$B$501,$A196))</f>
      </c>
      <c r="R196" s="5">
        <f>IF($A196="","",COUNTIFS(Tasks!$B$2:$B$501,$A196,Tasks!$L$2:$L$501,"Completed"))</f>
      </c>
      <c r="S196" s="5">
        <f t="shared" si="12"/>
      </c>
      <c r="T196" s="5">
        <f>IF($A196="","",SUMIFS(Tasks!$T$2:$T$501,Tasks!$B$2:$B$501,$A196))</f>
      </c>
      <c r="U196" s="6">
        <f t="shared" si="13"/>
      </c>
    </row>
    <row r="197" ht="30" customHeight="1" spans="1:21" x14ac:dyDescent="0.25">
      <c r="A197" s="2"/>
      <c r="B197" s="3"/>
      <c r="C197" s="4"/>
      <c r="D197" s="4"/>
      <c r="E197" s="2"/>
      <c r="F197" s="4"/>
      <c r="G197" s="2"/>
      <c r="H197" s="2"/>
      <c r="I197" s="4"/>
      <c r="J197" s="4"/>
      <c r="K197" s="4"/>
      <c r="L197" s="4"/>
      <c r="M197" s="4"/>
      <c r="N197" s="4"/>
      <c r="O197" s="4"/>
      <c r="P197" s="3"/>
      <c r="Q197" s="5">
        <f>IF($A197="","",COUNTIFS(Tasks!$B$2:$B$501,$A197))</f>
      </c>
      <c r="R197" s="5">
        <f>IF($A197="","",COUNTIFS(Tasks!$B$2:$B$501,$A197,Tasks!$L$2:$L$501,"Completed"))</f>
      </c>
      <c r="S197" s="5">
        <f t="shared" si="12"/>
      </c>
      <c r="T197" s="5">
        <f>IF($A197="","",SUMIFS(Tasks!$T$2:$T$501,Tasks!$B$2:$B$501,$A197))</f>
      </c>
      <c r="U197" s="6">
        <f t="shared" si="13"/>
      </c>
    </row>
    <row r="198" ht="30" customHeight="1" spans="1:21" x14ac:dyDescent="0.25">
      <c r="A198" s="2"/>
      <c r="B198" s="3"/>
      <c r="C198" s="4"/>
      <c r="D198" s="4"/>
      <c r="E198" s="2"/>
      <c r="F198" s="4"/>
      <c r="G198" s="2"/>
      <c r="H198" s="2"/>
      <c r="I198" s="4"/>
      <c r="J198" s="4"/>
      <c r="K198" s="4"/>
      <c r="L198" s="4"/>
      <c r="M198" s="4"/>
      <c r="N198" s="4"/>
      <c r="O198" s="4"/>
      <c r="P198" s="3"/>
      <c r="Q198" s="5">
        <f>IF($A198="","",COUNTIFS(Tasks!$B$2:$B$501,$A198))</f>
      </c>
      <c r="R198" s="5">
        <f>IF($A198="","",COUNTIFS(Tasks!$B$2:$B$501,$A198,Tasks!$L$2:$L$501,"Completed"))</f>
      </c>
      <c r="S198" s="5">
        <f t="shared" si="12"/>
      </c>
      <c r="T198" s="5">
        <f>IF($A198="","",SUMIFS(Tasks!$T$2:$T$501,Tasks!$B$2:$B$501,$A198))</f>
      </c>
      <c r="U198" s="6">
        <f t="shared" si="13"/>
      </c>
    </row>
    <row r="199" ht="30" customHeight="1" spans="1:21" x14ac:dyDescent="0.25">
      <c r="A199" s="2"/>
      <c r="B199" s="3"/>
      <c r="C199" s="4"/>
      <c r="D199" s="4"/>
      <c r="E199" s="2"/>
      <c r="F199" s="4"/>
      <c r="G199" s="2"/>
      <c r="H199" s="2"/>
      <c r="I199" s="4"/>
      <c r="J199" s="4"/>
      <c r="K199" s="4"/>
      <c r="L199" s="4"/>
      <c r="M199" s="4"/>
      <c r="N199" s="4"/>
      <c r="O199" s="4"/>
      <c r="P199" s="3"/>
      <c r="Q199" s="5">
        <f>IF($A199="","",COUNTIFS(Tasks!$B$2:$B$501,$A199))</f>
      </c>
      <c r="R199" s="5">
        <f>IF($A199="","",COUNTIFS(Tasks!$B$2:$B$501,$A199,Tasks!$L$2:$L$501,"Completed"))</f>
      </c>
      <c r="S199" s="5">
        <f t="shared" si="12"/>
      </c>
      <c r="T199" s="5">
        <f>IF($A199="","",SUMIFS(Tasks!$T$2:$T$501,Tasks!$B$2:$B$501,$A199))</f>
      </c>
      <c r="U199" s="6">
        <f t="shared" si="13"/>
      </c>
    </row>
    <row r="200" ht="30" customHeight="1" spans="1:21" x14ac:dyDescent="0.25">
      <c r="A200" s="2"/>
      <c r="B200" s="3"/>
      <c r="C200" s="4"/>
      <c r="D200" s="4"/>
      <c r="E200" s="2"/>
      <c r="F200" s="4"/>
      <c r="G200" s="2"/>
      <c r="H200" s="2"/>
      <c r="I200" s="4"/>
      <c r="J200" s="4"/>
      <c r="K200" s="4"/>
      <c r="L200" s="4"/>
      <c r="M200" s="4"/>
      <c r="N200" s="4"/>
      <c r="O200" s="4"/>
      <c r="P200" s="3"/>
      <c r="Q200" s="5">
        <f>IF($A200="","",COUNTIFS(Tasks!$B$2:$B$501,$A200))</f>
      </c>
      <c r="R200" s="5">
        <f>IF($A200="","",COUNTIFS(Tasks!$B$2:$B$501,$A200,Tasks!$L$2:$L$501,"Completed"))</f>
      </c>
      <c r="S200" s="5">
        <f t="shared" si="12"/>
      </c>
      <c r="T200" s="5">
        <f>IF($A200="","",SUMIFS(Tasks!$T$2:$T$501,Tasks!$B$2:$B$501,$A200))</f>
      </c>
      <c r="U200" s="6">
        <f t="shared" si="13"/>
      </c>
    </row>
    <row r="201" ht="30" customHeight="1" spans="1:21" x14ac:dyDescent="0.25">
      <c r="A201" s="2"/>
      <c r="B201" s="3"/>
      <c r="C201" s="4"/>
      <c r="D201" s="4"/>
      <c r="E201" s="2"/>
      <c r="F201" s="4"/>
      <c r="G201" s="2"/>
      <c r="H201" s="2"/>
      <c r="I201" s="4"/>
      <c r="J201" s="4"/>
      <c r="K201" s="4"/>
      <c r="L201" s="4"/>
      <c r="M201" s="4"/>
      <c r="N201" s="4"/>
      <c r="O201" s="4"/>
      <c r="P201" s="3"/>
      <c r="Q201" s="5">
        <f>IF($A201="","",COUNTIFS(Tasks!$B$2:$B$501,$A201))</f>
      </c>
      <c r="R201" s="5">
        <f>IF($A201="","",COUNTIFS(Tasks!$B$2:$B$501,$A201,Tasks!$L$2:$L$501,"Completed"))</f>
      </c>
      <c r="S201" s="5">
        <f t="shared" si="12"/>
      </c>
      <c r="T201" s="5">
        <f>IF($A201="","",SUMIFS(Tasks!$T$2:$T$501,Tasks!$B$2:$B$501,$A201))</f>
      </c>
      <c r="U201" s="6">
        <f t="shared" si="13"/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workbookViewId="0" showGridLines="0" zoomScale="100" zoomScaleNormal="100">
      <pane xSplit="2" ySplit="1" topLeftCell="F2" activePane="bottomRight" state="frozen"/>
      <selection pane="bottomRight" activeCell="G3" sqref="G3"/>
    </sheetView>
  </sheetViews>
  <sheetFormatPr defaultRowHeight="15" outlineLevelRow="0" outlineLevelCol="0" x14ac:dyDescent="0" defaultColWidth="8.7109375"/>
  <cols>
    <col min="1" max="1" width="10" customWidth="1"/>
    <col min="2" max="2" width="11" customWidth="1"/>
    <col min="3" max="3" width="13" customWidth="1"/>
    <col min="4" max="4" width="18" customWidth="1"/>
    <col min="5" max="5" width="44" customWidth="1"/>
    <col min="6" max="7" width="20" customWidth="1"/>
    <col min="8" max="8" width="11" customWidth="1"/>
    <col min="9" max="9" width="13" customWidth="1"/>
    <col min="10" max="12" width="14" customWidth="1"/>
    <col min="13" max="13" width="11" customWidth="1"/>
    <col min="14" max="14" width="14" customWidth="1"/>
    <col min="15" max="15" width="15" customWidth="1"/>
    <col min="16" max="16" width="30" customWidth="1"/>
    <col min="17" max="17" width="20" customWidth="1"/>
    <col min="18" max="18" width="26" customWidth="1"/>
    <col min="19" max="20" width="13" hidden="1" customWidth="1"/>
  </cols>
  <sheetData>
    <row r="1" ht="33.75" customHeight="1" spans="1:20" x14ac:dyDescent="0.25">
      <c r="A1" s="1" t="s">
        <v>34</v>
      </c>
      <c r="B1" s="1" t="s">
        <v>0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</row>
    <row r="2" ht="27.75" customHeight="1" spans="1:20" x14ac:dyDescent="0.25">
      <c r="A2" s="2" t="s">
        <v>52</v>
      </c>
      <c r="B2" s="2" t="s">
        <v>21</v>
      </c>
      <c r="C2" s="7">
        <f>IF($B2="","",IFERROR(INDEX('Meetings (MOM)'!$B$2:$B$201,MATCH($B2,'Meetings (MOM)'!$A$2:$A$201,0)),""))</f>
        <v>46266</v>
      </c>
      <c r="D2" s="5" t="str">
        <f>IF($B2="","",IFERROR(INDEX('Meetings (MOM)'!$C$2:$C$201,MATCH($B2,'Meetings (MOM)'!$A$2:$A$201,0)),""))</f>
        <v>Head Office</v>
      </c>
      <c r="E2" s="4" t="s">
        <v>53</v>
      </c>
      <c r="F2" s="2" t="s">
        <v>54</v>
      </c>
      <c r="G2" s="2" t="s">
        <v>27</v>
      </c>
      <c r="H2" s="2" t="s">
        <v>55</v>
      </c>
      <c r="I2" s="8">
        <v>46274.4375</v>
      </c>
      <c r="J2" s="8">
        <v>46277</v>
      </c>
      <c r="K2" s="8"/>
      <c r="L2" s="2" t="s">
        <v>56</v>
      </c>
      <c r="M2" s="9">
        <v>0</v>
      </c>
      <c r="N2" s="8">
        <v>46269</v>
      </c>
      <c r="O2" s="10">
        <f t="shared" ref="O2:O65" si="0">IF(OR($A2="",IF($K2="",$J2,$K2)=""),"",IF($L2="Completed",IF($N2="","",$N2-IF($K2="",$J2,$K2)),IF($L2="Cancelled","",TODAY()-IF($K2="",$J2,$K2))))</f>
        <v>-1</v>
      </c>
      <c r="P2" s="4"/>
      <c r="Q2" s="5" t="str">
        <f t="shared" ref="Q2:Q65" si="1">IF($A2="","",IF(OR($L2="Completed",$L2="Cancelled"),"Closed",IF(IF($K2="",$J2,$K2)="","Set deadline",IF(TODAY()&gt;IF($K2="",$J2,$K2),"OVERDUE - Escalate",IF(IF($K2="",$J2,$K2)-TODAY()&lt;=3,"Send Reminder","On Track")))))</f>
        <v>Closed</v>
      </c>
      <c r="R2" s="4" t="s">
        <v>57</v>
      </c>
      <c r="S2" s="5" t="str">
        <f>IF($B2="","",$B2&amp;"-"&amp;COUNTIFS($B$2:$B2,$B2))</f>
        <v>MOM-001-1</v>
      </c>
      <c r="T2" s="5">
        <f t="shared" ref="T2:T65" si="2">IF($A2="",0,IF(OR($L2="Completed",$L2="Cancelled"),0,IF(IF($K2="",$J2,$K2)="",0,IF(TODAY()&gt;IF($K2="",$J2,$K2),1,0))))</f>
        <v>0</v>
      </c>
    </row>
    <row r="3" ht="27.75" customHeight="1" spans="1:20" x14ac:dyDescent="0.25">
      <c r="A3" s="2" t="s">
        <v>58</v>
      </c>
      <c r="B3" s="2" t="s">
        <v>21</v>
      </c>
      <c r="C3" s="7">
        <f>IF($B3="","",IFERROR(INDEX('Meetings (MOM)'!$B$2:$B$201,MATCH($B3,'Meetings (MOM)'!$A$2:$A$201,0)),""))</f>
        <v>46266</v>
      </c>
      <c r="D3" s="5" t="str">
        <f>IF($B3="","",IFERROR(INDEX('Meetings (MOM)'!$C$2:$C$201,MATCH($B3,'Meetings (MOM)'!$A$2:$A$201,0)),""))</f>
        <v>Head Office</v>
      </c>
      <c r="E3" s="4" t="s">
        <v>59</v>
      </c>
      <c r="F3" s="2" t="s">
        <v>60</v>
      </c>
      <c r="G3" s="2" t="s">
        <v>27</v>
      </c>
      <c r="H3" s="2" t="s">
        <v>55</v>
      </c>
      <c r="I3" s="8">
        <v>46274.4375</v>
      </c>
      <c r="J3" s="8">
        <v>46279</v>
      </c>
      <c r="K3" s="8"/>
      <c r="L3" s="2" t="s">
        <v>56</v>
      </c>
      <c r="M3" s="9">
        <v>0</v>
      </c>
      <c r="N3" s="8"/>
      <c r="O3" s="10">
        <f t="shared" si="0"/>
        <v>0</v>
      </c>
      <c r="P3" s="4" t="s">
        <v>61</v>
      </c>
      <c r="Q3" s="5" t="str">
        <f t="shared" si="1"/>
        <v>Send Reminder</v>
      </c>
      <c r="R3" s="4" t="s">
        <v>62</v>
      </c>
      <c r="S3" s="5" t="str">
        <f>IF($B3="","",$B3&amp;"-"&amp;COUNTIFS($B$2:$B3,$B3))</f>
        <v>MOM-001-2</v>
      </c>
      <c r="T3" s="5">
        <f t="shared" si="2"/>
        <v>0</v>
      </c>
    </row>
    <row r="4" ht="27.75" customHeight="1" spans="1:20" x14ac:dyDescent="0.25">
      <c r="A4" s="2" t="s">
        <v>63</v>
      </c>
      <c r="B4" s="2" t="s">
        <v>21</v>
      </c>
      <c r="C4" s="7">
        <f>IF($B4="","",IFERROR(INDEX('Meetings (MOM)'!$B$2:$B$201,MATCH($B4,'Meetings (MOM)'!$A$2:$A$201,0)),""))</f>
        <v>46266</v>
      </c>
      <c r="D4" s="5" t="str">
        <f>IF($B4="","",IFERROR(INDEX('Meetings (MOM)'!$C$2:$C$201,MATCH($B4,'Meetings (MOM)'!$A$2:$A$201,0)),""))</f>
        <v>Head Office</v>
      </c>
      <c r="E4" s="4" t="s">
        <v>64</v>
      </c>
      <c r="F4" s="2" t="s">
        <v>65</v>
      </c>
      <c r="G4" s="2" t="s">
        <v>27</v>
      </c>
      <c r="H4" s="2" t="s">
        <v>66</v>
      </c>
      <c r="I4" s="8">
        <v>46274.4375</v>
      </c>
      <c r="J4" s="8">
        <v>46280</v>
      </c>
      <c r="K4" s="8"/>
      <c r="L4" s="2" t="s">
        <v>56</v>
      </c>
      <c r="M4" s="9">
        <v>0</v>
      </c>
      <c r="N4" s="8"/>
      <c r="O4" s="10">
        <f t="shared" si="0"/>
        <v>-12</v>
      </c>
      <c r="P4" s="4"/>
      <c r="Q4" s="5" t="str">
        <f t="shared" si="1"/>
        <v>On Track</v>
      </c>
      <c r="R4" s="4"/>
      <c r="S4" s="5" t="str">
        <f>IF($B4="","",$B4&amp;"-"&amp;COUNTIFS($B$2:$B4,$B4))</f>
        <v>MOM-001-3</v>
      </c>
      <c r="T4" s="5">
        <f t="shared" si="2"/>
        <v>0</v>
      </c>
    </row>
    <row r="5" ht="27.75" customHeight="1" spans="1:20" x14ac:dyDescent="0.25">
      <c r="A5" s="2"/>
      <c r="B5" s="2"/>
      <c r="C5" s="7">
        <f>IF($B5="","",IFERROR(INDEX('Meetings (MOM)'!$B$2:$B$201,MATCH($B5,'Meetings (MOM)'!$A$2:$A$201,0)),""))</f>
      </c>
      <c r="D5" s="5">
        <f>IF($B5="","",IFERROR(INDEX('Meetings (MOM)'!$C$2:$C$201,MATCH($B5,'Meetings (MOM)'!$A$2:$A$201,0)),""))</f>
      </c>
      <c r="E5" s="4"/>
      <c r="F5" s="2"/>
      <c r="G5" s="2"/>
      <c r="H5" s="2"/>
      <c r="I5" s="8"/>
      <c r="J5" s="8"/>
      <c r="K5" s="8"/>
      <c r="L5" s="2"/>
      <c r="M5" s="9"/>
      <c r="N5" s="8"/>
      <c r="O5" s="10">
        <f t="shared" si="0"/>
      </c>
      <c r="P5" s="4"/>
      <c r="Q5" s="5">
        <f t="shared" si="1"/>
      </c>
      <c r="R5" s="4"/>
      <c r="S5" s="5">
        <f>IF($B5="","",$B5&amp;"-"&amp;COUNTIFS($B$2:$B5,$B5))</f>
      </c>
      <c r="T5" s="5">
        <f t="shared" si="2"/>
        <v>0</v>
      </c>
    </row>
    <row r="6" ht="27.75" customHeight="1" spans="1:20" x14ac:dyDescent="0.25">
      <c r="A6" s="2"/>
      <c r="B6" s="2"/>
      <c r="C6" s="7">
        <f>IF($B6="","",IFERROR(INDEX('Meetings (MOM)'!$B$2:$B$201,MATCH($B6,'Meetings (MOM)'!$A$2:$A$201,0)),""))</f>
      </c>
      <c r="D6" s="5">
        <f>IF($B6="","",IFERROR(INDEX('Meetings (MOM)'!$C$2:$C$201,MATCH($B6,'Meetings (MOM)'!$A$2:$A$201,0)),""))</f>
      </c>
      <c r="E6" s="4"/>
      <c r="F6" s="2"/>
      <c r="G6" s="2"/>
      <c r="H6" s="2"/>
      <c r="I6" s="8"/>
      <c r="J6" s="8"/>
      <c r="K6" s="8"/>
      <c r="L6" s="2"/>
      <c r="M6" s="9"/>
      <c r="N6" s="8"/>
      <c r="O6" s="10">
        <f t="shared" si="0"/>
      </c>
      <c r="P6" s="4"/>
      <c r="Q6" s="5">
        <f t="shared" si="1"/>
      </c>
      <c r="R6" s="4"/>
      <c r="S6" s="5">
        <f>IF($B6="","",$B6&amp;"-"&amp;COUNTIFS($B$2:$B6,$B6))</f>
      </c>
      <c r="T6" s="5">
        <f t="shared" si="2"/>
        <v>0</v>
      </c>
    </row>
    <row r="7" ht="27.75" customHeight="1" spans="1:20" x14ac:dyDescent="0.25">
      <c r="A7" s="2"/>
      <c r="B7" s="2"/>
      <c r="C7" s="7">
        <f>IF($B7="","",IFERROR(INDEX('Meetings (MOM)'!$B$2:$B$201,MATCH($B7,'Meetings (MOM)'!$A$2:$A$201,0)),""))</f>
      </c>
      <c r="D7" s="5">
        <f>IF($B7="","",IFERROR(INDEX('Meetings (MOM)'!$C$2:$C$201,MATCH($B7,'Meetings (MOM)'!$A$2:$A$201,0)),""))</f>
      </c>
      <c r="E7" s="4"/>
      <c r="F7" s="2"/>
      <c r="G7" s="2"/>
      <c r="H7" s="2"/>
      <c r="I7" s="8"/>
      <c r="J7" s="8"/>
      <c r="K7" s="8"/>
      <c r="L7" s="2"/>
      <c r="M7" s="9"/>
      <c r="N7" s="8"/>
      <c r="O7" s="10">
        <f t="shared" si="0"/>
      </c>
      <c r="P7" s="4"/>
      <c r="Q7" s="5">
        <f t="shared" si="1"/>
      </c>
      <c r="R7" s="4"/>
      <c r="S7" s="5">
        <f>IF($B7="","",$B7&amp;"-"&amp;COUNTIFS($B$2:$B7,$B7))</f>
      </c>
      <c r="T7" s="5">
        <f t="shared" si="2"/>
        <v>0</v>
      </c>
    </row>
    <row r="8" ht="27.75" customHeight="1" spans="1:20" x14ac:dyDescent="0.25">
      <c r="A8" s="2"/>
      <c r="B8" s="2"/>
      <c r="C8" s="7">
        <f>IF($B8="","",IFERROR(INDEX('Meetings (MOM)'!$B$2:$B$201,MATCH($B8,'Meetings (MOM)'!$A$2:$A$201,0)),""))</f>
      </c>
      <c r="D8" s="5">
        <f>IF($B8="","",IFERROR(INDEX('Meetings (MOM)'!$C$2:$C$201,MATCH($B8,'Meetings (MOM)'!$A$2:$A$201,0)),""))</f>
      </c>
      <c r="E8" s="4"/>
      <c r="F8" s="2"/>
      <c r="G8" s="2"/>
      <c r="H8" s="2"/>
      <c r="I8" s="8"/>
      <c r="J8" s="8"/>
      <c r="K8" s="8"/>
      <c r="L8" s="2"/>
      <c r="M8" s="9"/>
      <c r="N8" s="8"/>
      <c r="O8" s="10">
        <f t="shared" si="0"/>
      </c>
      <c r="P8" s="4"/>
      <c r="Q8" s="5">
        <f t="shared" si="1"/>
      </c>
      <c r="R8" s="4"/>
      <c r="S8" s="5">
        <f>IF($B8="","",$B8&amp;"-"&amp;COUNTIFS($B$2:$B8,$B8))</f>
      </c>
      <c r="T8" s="5">
        <f t="shared" si="2"/>
        <v>0</v>
      </c>
    </row>
    <row r="9" ht="27.75" customHeight="1" spans="1:20" x14ac:dyDescent="0.25">
      <c r="A9" s="2"/>
      <c r="B9" s="2"/>
      <c r="C9" s="7">
        <f>IF($B9="","",IFERROR(INDEX('Meetings (MOM)'!$B$2:$B$201,MATCH($B9,'Meetings (MOM)'!$A$2:$A$201,0)),""))</f>
      </c>
      <c r="D9" s="5">
        <f>IF($B9="","",IFERROR(INDEX('Meetings (MOM)'!$C$2:$C$201,MATCH($B9,'Meetings (MOM)'!$A$2:$A$201,0)),""))</f>
      </c>
      <c r="E9" s="4"/>
      <c r="F9" s="2"/>
      <c r="G9" s="2"/>
      <c r="H9" s="2"/>
      <c r="I9" s="8"/>
      <c r="J9" s="8"/>
      <c r="K9" s="8"/>
      <c r="L9" s="2"/>
      <c r="M9" s="9"/>
      <c r="N9" s="8"/>
      <c r="O9" s="10">
        <f t="shared" si="0"/>
      </c>
      <c r="P9" s="4"/>
      <c r="Q9" s="5">
        <f t="shared" si="1"/>
      </c>
      <c r="R9" s="4"/>
      <c r="S9" s="5">
        <f>IF($B9="","",$B9&amp;"-"&amp;COUNTIFS($B$2:$B9,$B9))</f>
      </c>
      <c r="T9" s="5">
        <f t="shared" si="2"/>
        <v>0</v>
      </c>
    </row>
    <row r="10" ht="27.75" customHeight="1" spans="1:20" x14ac:dyDescent="0.25">
      <c r="A10" s="2"/>
      <c r="B10" s="2"/>
      <c r="C10" s="7">
        <f>IF($B10="","",IFERROR(INDEX('Meetings (MOM)'!$B$2:$B$201,MATCH($B10,'Meetings (MOM)'!$A$2:$A$201,0)),""))</f>
      </c>
      <c r="D10" s="5">
        <f>IF($B10="","",IFERROR(INDEX('Meetings (MOM)'!$C$2:$C$201,MATCH($B10,'Meetings (MOM)'!$A$2:$A$201,0)),""))</f>
      </c>
      <c r="E10" s="4"/>
      <c r="F10" s="2"/>
      <c r="G10" s="2"/>
      <c r="H10" s="2"/>
      <c r="I10" s="8"/>
      <c r="J10" s="8"/>
      <c r="K10" s="8"/>
      <c r="L10" s="2"/>
      <c r="M10" s="9"/>
      <c r="N10" s="8"/>
      <c r="O10" s="10">
        <f t="shared" si="0"/>
      </c>
      <c r="P10" s="4"/>
      <c r="Q10" s="5">
        <f t="shared" si="1"/>
      </c>
      <c r="R10" s="4"/>
      <c r="S10" s="5">
        <f>IF($B10="","",$B10&amp;"-"&amp;COUNTIFS($B$2:$B10,$B10))</f>
      </c>
      <c r="T10" s="5">
        <f t="shared" si="2"/>
        <v>0</v>
      </c>
    </row>
    <row r="11" ht="27.75" customHeight="1" spans="1:20" x14ac:dyDescent="0.25">
      <c r="A11" s="2"/>
      <c r="B11" s="2"/>
      <c r="C11" s="7">
        <f>IF($B11="","",IFERROR(INDEX('Meetings (MOM)'!$B$2:$B$201,MATCH($B11,'Meetings (MOM)'!$A$2:$A$201,0)),""))</f>
      </c>
      <c r="D11" s="5">
        <f>IF($B11="","",IFERROR(INDEX('Meetings (MOM)'!$C$2:$C$201,MATCH($B11,'Meetings (MOM)'!$A$2:$A$201,0)),""))</f>
      </c>
      <c r="E11" s="4"/>
      <c r="F11" s="2"/>
      <c r="G11" s="2"/>
      <c r="H11" s="2"/>
      <c r="I11" s="8"/>
      <c r="J11" s="8"/>
      <c r="K11" s="8"/>
      <c r="L11" s="2"/>
      <c r="M11" s="9"/>
      <c r="N11" s="8"/>
      <c r="O11" s="10">
        <f t="shared" si="0"/>
      </c>
      <c r="P11" s="4"/>
      <c r="Q11" s="5">
        <f t="shared" si="1"/>
      </c>
      <c r="R11" s="4"/>
      <c r="S11" s="5">
        <f>IF($B11="","",$B11&amp;"-"&amp;COUNTIFS($B$2:$B11,$B11))</f>
      </c>
      <c r="T11" s="5">
        <f t="shared" si="2"/>
        <v>0</v>
      </c>
    </row>
    <row r="12" ht="27.75" customHeight="1" spans="1:20" x14ac:dyDescent="0.25">
      <c r="A12" s="2"/>
      <c r="B12" s="2"/>
      <c r="C12" s="7">
        <f>IF($B12="","",IFERROR(INDEX('Meetings (MOM)'!$B$2:$B$201,MATCH($B12,'Meetings (MOM)'!$A$2:$A$201,0)),""))</f>
      </c>
      <c r="D12" s="5">
        <f>IF($B12="","",IFERROR(INDEX('Meetings (MOM)'!$C$2:$C$201,MATCH($B12,'Meetings (MOM)'!$A$2:$A$201,0)),""))</f>
      </c>
      <c r="E12" s="4"/>
      <c r="F12" s="2"/>
      <c r="G12" s="2"/>
      <c r="H12" s="2"/>
      <c r="I12" s="8"/>
      <c r="J12" s="8"/>
      <c r="K12" s="8"/>
      <c r="L12" s="2"/>
      <c r="M12" s="9"/>
      <c r="N12" s="8"/>
      <c r="O12" s="10">
        <f t="shared" si="0"/>
      </c>
      <c r="P12" s="4"/>
      <c r="Q12" s="5">
        <f t="shared" si="1"/>
      </c>
      <c r="R12" s="4"/>
      <c r="S12" s="5">
        <f>IF($B12="","",$B12&amp;"-"&amp;COUNTIFS($B$2:$B12,$B12))</f>
      </c>
      <c r="T12" s="5">
        <f t="shared" si="2"/>
        <v>0</v>
      </c>
    </row>
    <row r="13" ht="27.75" customHeight="1" spans="1:20" x14ac:dyDescent="0.25">
      <c r="A13" s="2"/>
      <c r="B13" s="2"/>
      <c r="C13" s="7">
        <f>IF($B13="","",IFERROR(INDEX('Meetings (MOM)'!$B$2:$B$201,MATCH($B13,'Meetings (MOM)'!$A$2:$A$201,0)),""))</f>
      </c>
      <c r="D13" s="5">
        <f>IF($B13="","",IFERROR(INDEX('Meetings (MOM)'!$C$2:$C$201,MATCH($B13,'Meetings (MOM)'!$A$2:$A$201,0)),""))</f>
      </c>
      <c r="E13" s="4"/>
      <c r="F13" s="2"/>
      <c r="G13" s="2"/>
      <c r="H13" s="2"/>
      <c r="I13" s="8"/>
      <c r="J13" s="8"/>
      <c r="K13" s="8"/>
      <c r="L13" s="2"/>
      <c r="M13" s="9"/>
      <c r="N13" s="8"/>
      <c r="O13" s="10">
        <f t="shared" si="0"/>
      </c>
      <c r="P13" s="4"/>
      <c r="Q13" s="5">
        <f t="shared" si="1"/>
      </c>
      <c r="R13" s="4"/>
      <c r="S13" s="5">
        <f>IF($B13="","",$B13&amp;"-"&amp;COUNTIFS($B$2:$B13,$B13))</f>
      </c>
      <c r="T13" s="5">
        <f t="shared" si="2"/>
        <v>0</v>
      </c>
    </row>
    <row r="14" ht="27.75" customHeight="1" spans="1:20" x14ac:dyDescent="0.25">
      <c r="A14" s="2"/>
      <c r="B14" s="2"/>
      <c r="C14" s="7">
        <f>IF($B14="","",IFERROR(INDEX('Meetings (MOM)'!$B$2:$B$201,MATCH($B14,'Meetings (MOM)'!$A$2:$A$201,0)),""))</f>
      </c>
      <c r="D14" s="5">
        <f>IF($B14="","",IFERROR(INDEX('Meetings (MOM)'!$C$2:$C$201,MATCH($B14,'Meetings (MOM)'!$A$2:$A$201,0)),""))</f>
      </c>
      <c r="E14" s="4"/>
      <c r="F14" s="2"/>
      <c r="G14" s="2"/>
      <c r="H14" s="2"/>
      <c r="I14" s="8"/>
      <c r="J14" s="8"/>
      <c r="K14" s="8"/>
      <c r="L14" s="2"/>
      <c r="M14" s="9"/>
      <c r="N14" s="8"/>
      <c r="O14" s="10">
        <f t="shared" si="0"/>
      </c>
      <c r="P14" s="4"/>
      <c r="Q14" s="5">
        <f t="shared" si="1"/>
      </c>
      <c r="R14" s="4"/>
      <c r="S14" s="5">
        <f>IF($B14="","",$B14&amp;"-"&amp;COUNTIFS($B$2:$B14,$B14))</f>
      </c>
      <c r="T14" s="5">
        <f t="shared" si="2"/>
        <v>0</v>
      </c>
    </row>
    <row r="15" ht="27.75" customHeight="1" spans="1:20" x14ac:dyDescent="0.25">
      <c r="A15" s="2"/>
      <c r="B15" s="2"/>
      <c r="C15" s="7">
        <f>IF($B15="","",IFERROR(INDEX('Meetings (MOM)'!$B$2:$B$201,MATCH($B15,'Meetings (MOM)'!$A$2:$A$201,0)),""))</f>
      </c>
      <c r="D15" s="5">
        <f>IF($B15="","",IFERROR(INDEX('Meetings (MOM)'!$C$2:$C$201,MATCH($B15,'Meetings (MOM)'!$A$2:$A$201,0)),""))</f>
      </c>
      <c r="E15" s="4"/>
      <c r="F15" s="2"/>
      <c r="G15" s="2"/>
      <c r="H15" s="2"/>
      <c r="I15" s="8"/>
      <c r="J15" s="8"/>
      <c r="K15" s="8"/>
      <c r="L15" s="2"/>
      <c r="M15" s="9"/>
      <c r="N15" s="8"/>
      <c r="O15" s="10">
        <f t="shared" si="0"/>
      </c>
      <c r="P15" s="4"/>
      <c r="Q15" s="5">
        <f t="shared" si="1"/>
      </c>
      <c r="R15" s="4"/>
      <c r="S15" s="5">
        <f>IF($B15="","",$B15&amp;"-"&amp;COUNTIFS($B$2:$B15,$B15))</f>
      </c>
      <c r="T15" s="5">
        <f t="shared" si="2"/>
        <v>0</v>
      </c>
    </row>
    <row r="16" ht="27.75" customHeight="1" spans="1:20" x14ac:dyDescent="0.25">
      <c r="A16" s="2"/>
      <c r="B16" s="2"/>
      <c r="C16" s="7">
        <f>IF($B16="","",IFERROR(INDEX('Meetings (MOM)'!$B$2:$B$201,MATCH($B16,'Meetings (MOM)'!$A$2:$A$201,0)),""))</f>
      </c>
      <c r="D16" s="5">
        <f>IF($B16="","",IFERROR(INDEX('Meetings (MOM)'!$C$2:$C$201,MATCH($B16,'Meetings (MOM)'!$A$2:$A$201,0)),""))</f>
      </c>
      <c r="E16" s="4"/>
      <c r="F16" s="2"/>
      <c r="G16" s="2"/>
      <c r="H16" s="2"/>
      <c r="I16" s="8"/>
      <c r="J16" s="8"/>
      <c r="K16" s="8"/>
      <c r="L16" s="2"/>
      <c r="M16" s="9"/>
      <c r="N16" s="8"/>
      <c r="O16" s="10">
        <f t="shared" si="0"/>
      </c>
      <c r="P16" s="4"/>
      <c r="Q16" s="5">
        <f t="shared" si="1"/>
      </c>
      <c r="R16" s="4"/>
      <c r="S16" s="5">
        <f>IF($B16="","",$B16&amp;"-"&amp;COUNTIFS($B$2:$B16,$B16))</f>
      </c>
      <c r="T16" s="5">
        <f t="shared" si="2"/>
        <v>0</v>
      </c>
    </row>
    <row r="17" ht="27.75" customHeight="1" spans="1:20" x14ac:dyDescent="0.25">
      <c r="A17" s="2"/>
      <c r="B17" s="2"/>
      <c r="C17" s="7">
        <f>IF($B17="","",IFERROR(INDEX('Meetings (MOM)'!$B$2:$B$201,MATCH($B17,'Meetings (MOM)'!$A$2:$A$201,0)),""))</f>
      </c>
      <c r="D17" s="5">
        <f>IF($B17="","",IFERROR(INDEX('Meetings (MOM)'!$C$2:$C$201,MATCH($B17,'Meetings (MOM)'!$A$2:$A$201,0)),""))</f>
      </c>
      <c r="E17" s="4"/>
      <c r="F17" s="2"/>
      <c r="G17" s="2"/>
      <c r="H17" s="2"/>
      <c r="I17" s="8"/>
      <c r="J17" s="8"/>
      <c r="K17" s="8"/>
      <c r="L17" s="2"/>
      <c r="M17" s="9"/>
      <c r="N17" s="8"/>
      <c r="O17" s="10">
        <f t="shared" si="0"/>
      </c>
      <c r="P17" s="4"/>
      <c r="Q17" s="5">
        <f t="shared" si="1"/>
      </c>
      <c r="R17" s="4"/>
      <c r="S17" s="5">
        <f>IF($B17="","",$B17&amp;"-"&amp;COUNTIFS($B$2:$B17,$B17))</f>
      </c>
      <c r="T17" s="5">
        <f t="shared" si="2"/>
        <v>0</v>
      </c>
    </row>
    <row r="18" ht="27.75" customHeight="1" spans="1:20" x14ac:dyDescent="0.25">
      <c r="A18" s="2"/>
      <c r="B18" s="2"/>
      <c r="C18" s="7">
        <f>IF($B18="","",IFERROR(INDEX('Meetings (MOM)'!$B$2:$B$201,MATCH($B18,'Meetings (MOM)'!$A$2:$A$201,0)),""))</f>
      </c>
      <c r="D18" s="5">
        <f>IF($B18="","",IFERROR(INDEX('Meetings (MOM)'!$C$2:$C$201,MATCH($B18,'Meetings (MOM)'!$A$2:$A$201,0)),""))</f>
      </c>
      <c r="E18" s="4"/>
      <c r="F18" s="2"/>
      <c r="G18" s="2"/>
      <c r="H18" s="2"/>
      <c r="I18" s="8"/>
      <c r="J18" s="8"/>
      <c r="K18" s="8"/>
      <c r="L18" s="2"/>
      <c r="M18" s="9"/>
      <c r="N18" s="8"/>
      <c r="O18" s="10">
        <f t="shared" si="0"/>
      </c>
      <c r="P18" s="4"/>
      <c r="Q18" s="5">
        <f t="shared" si="1"/>
      </c>
      <c r="R18" s="4"/>
      <c r="S18" s="5">
        <f>IF($B18="","",$B18&amp;"-"&amp;COUNTIFS($B$2:$B18,$B18))</f>
      </c>
      <c r="T18" s="5">
        <f t="shared" si="2"/>
        <v>0</v>
      </c>
    </row>
    <row r="19" ht="27.75" customHeight="1" spans="1:20" x14ac:dyDescent="0.25">
      <c r="A19" s="2"/>
      <c r="B19" s="2"/>
      <c r="C19" s="7">
        <f>IF($B19="","",IFERROR(INDEX('Meetings (MOM)'!$B$2:$B$201,MATCH($B19,'Meetings (MOM)'!$A$2:$A$201,0)),""))</f>
      </c>
      <c r="D19" s="5">
        <f>IF($B19="","",IFERROR(INDEX('Meetings (MOM)'!$C$2:$C$201,MATCH($B19,'Meetings (MOM)'!$A$2:$A$201,0)),""))</f>
      </c>
      <c r="E19" s="4"/>
      <c r="F19" s="2"/>
      <c r="G19" s="2"/>
      <c r="H19" s="2"/>
      <c r="I19" s="8"/>
      <c r="J19" s="8"/>
      <c r="K19" s="8"/>
      <c r="L19" s="2"/>
      <c r="M19" s="9"/>
      <c r="N19" s="8"/>
      <c r="O19" s="10">
        <f t="shared" si="0"/>
      </c>
      <c r="P19" s="4"/>
      <c r="Q19" s="5">
        <f t="shared" si="1"/>
      </c>
      <c r="R19" s="4"/>
      <c r="S19" s="5">
        <f>IF($B19="","",$B19&amp;"-"&amp;COUNTIFS($B$2:$B19,$B19))</f>
      </c>
      <c r="T19" s="5">
        <f t="shared" si="2"/>
        <v>0</v>
      </c>
    </row>
    <row r="20" ht="27.75" customHeight="1" spans="1:20" x14ac:dyDescent="0.25">
      <c r="A20" s="2"/>
      <c r="B20" s="2"/>
      <c r="C20" s="7">
        <f>IF($B20="","",IFERROR(INDEX('Meetings (MOM)'!$B$2:$B$201,MATCH($B20,'Meetings (MOM)'!$A$2:$A$201,0)),""))</f>
      </c>
      <c r="D20" s="5">
        <f>IF($B20="","",IFERROR(INDEX('Meetings (MOM)'!$C$2:$C$201,MATCH($B20,'Meetings (MOM)'!$A$2:$A$201,0)),""))</f>
      </c>
      <c r="E20" s="4"/>
      <c r="F20" s="2"/>
      <c r="G20" s="2"/>
      <c r="H20" s="2"/>
      <c r="I20" s="8"/>
      <c r="J20" s="8"/>
      <c r="K20" s="8"/>
      <c r="L20" s="2"/>
      <c r="M20" s="9"/>
      <c r="N20" s="8"/>
      <c r="O20" s="10">
        <f t="shared" si="0"/>
      </c>
      <c r="P20" s="4"/>
      <c r="Q20" s="5">
        <f t="shared" si="1"/>
      </c>
      <c r="R20" s="4"/>
      <c r="S20" s="5">
        <f>IF($B20="","",$B20&amp;"-"&amp;COUNTIFS($B$2:$B20,$B20))</f>
      </c>
      <c r="T20" s="5">
        <f t="shared" si="2"/>
        <v>0</v>
      </c>
    </row>
    <row r="21" ht="27.75" customHeight="1" spans="1:20" x14ac:dyDescent="0.25">
      <c r="A21" s="2"/>
      <c r="B21" s="2"/>
      <c r="C21" s="7">
        <f>IF($B21="","",IFERROR(INDEX('Meetings (MOM)'!$B$2:$B$201,MATCH($B21,'Meetings (MOM)'!$A$2:$A$201,0)),""))</f>
      </c>
      <c r="D21" s="5">
        <f>IF($B21="","",IFERROR(INDEX('Meetings (MOM)'!$C$2:$C$201,MATCH($B21,'Meetings (MOM)'!$A$2:$A$201,0)),""))</f>
      </c>
      <c r="E21" s="4"/>
      <c r="F21" s="2"/>
      <c r="G21" s="2"/>
      <c r="H21" s="2"/>
      <c r="I21" s="8"/>
      <c r="J21" s="8"/>
      <c r="K21" s="8"/>
      <c r="L21" s="2"/>
      <c r="M21" s="9"/>
      <c r="N21" s="8"/>
      <c r="O21" s="10">
        <f t="shared" si="0"/>
      </c>
      <c r="P21" s="4"/>
      <c r="Q21" s="5">
        <f t="shared" si="1"/>
      </c>
      <c r="R21" s="4"/>
      <c r="S21" s="5">
        <f>IF($B21="","",$B21&amp;"-"&amp;COUNTIFS($B$2:$B21,$B21))</f>
      </c>
      <c r="T21" s="5">
        <f t="shared" si="2"/>
        <v>0</v>
      </c>
    </row>
    <row r="22" ht="27.75" customHeight="1" spans="1:20" x14ac:dyDescent="0.25">
      <c r="A22" s="2"/>
      <c r="B22" s="2"/>
      <c r="C22" s="7">
        <f>IF($B22="","",IFERROR(INDEX('Meetings (MOM)'!$B$2:$B$201,MATCH($B22,'Meetings (MOM)'!$A$2:$A$201,0)),""))</f>
      </c>
      <c r="D22" s="5">
        <f>IF($B22="","",IFERROR(INDEX('Meetings (MOM)'!$C$2:$C$201,MATCH($B22,'Meetings (MOM)'!$A$2:$A$201,0)),""))</f>
      </c>
      <c r="E22" s="4"/>
      <c r="F22" s="2"/>
      <c r="G22" s="2"/>
      <c r="H22" s="2"/>
      <c r="I22" s="8"/>
      <c r="J22" s="8"/>
      <c r="K22" s="8"/>
      <c r="L22" s="2"/>
      <c r="M22" s="9"/>
      <c r="N22" s="8"/>
      <c r="O22" s="10">
        <f t="shared" si="0"/>
      </c>
      <c r="P22" s="4"/>
      <c r="Q22" s="5">
        <f t="shared" si="1"/>
      </c>
      <c r="R22" s="4"/>
      <c r="S22" s="5">
        <f>IF($B22="","",$B22&amp;"-"&amp;COUNTIFS($B$2:$B22,$B22))</f>
      </c>
      <c r="T22" s="5">
        <f t="shared" si="2"/>
        <v>0</v>
      </c>
    </row>
    <row r="23" ht="27.75" customHeight="1" spans="1:20" x14ac:dyDescent="0.25">
      <c r="A23" s="2"/>
      <c r="B23" s="2"/>
      <c r="C23" s="7">
        <f>IF($B23="","",IFERROR(INDEX('Meetings (MOM)'!$B$2:$B$201,MATCH($B23,'Meetings (MOM)'!$A$2:$A$201,0)),""))</f>
      </c>
      <c r="D23" s="5">
        <f>IF($B23="","",IFERROR(INDEX('Meetings (MOM)'!$C$2:$C$201,MATCH($B23,'Meetings (MOM)'!$A$2:$A$201,0)),""))</f>
      </c>
      <c r="E23" s="4"/>
      <c r="F23" s="2"/>
      <c r="G23" s="2"/>
      <c r="H23" s="2"/>
      <c r="I23" s="8"/>
      <c r="J23" s="8"/>
      <c r="K23" s="8"/>
      <c r="L23" s="2"/>
      <c r="M23" s="9"/>
      <c r="N23" s="8"/>
      <c r="O23" s="10">
        <f t="shared" si="0"/>
      </c>
      <c r="P23" s="4"/>
      <c r="Q23" s="5">
        <f t="shared" si="1"/>
      </c>
      <c r="R23" s="4"/>
      <c r="S23" s="5">
        <f>IF($B23="","",$B23&amp;"-"&amp;COUNTIFS($B$2:$B23,$B23))</f>
      </c>
      <c r="T23" s="5">
        <f t="shared" si="2"/>
        <v>0</v>
      </c>
    </row>
    <row r="24" ht="27.75" customHeight="1" spans="1:20" x14ac:dyDescent="0.25">
      <c r="A24" s="2"/>
      <c r="B24" s="2"/>
      <c r="C24" s="7">
        <f>IF($B24="","",IFERROR(INDEX('Meetings (MOM)'!$B$2:$B$201,MATCH($B24,'Meetings (MOM)'!$A$2:$A$201,0)),""))</f>
      </c>
      <c r="D24" s="5">
        <f>IF($B24="","",IFERROR(INDEX('Meetings (MOM)'!$C$2:$C$201,MATCH($B24,'Meetings (MOM)'!$A$2:$A$201,0)),""))</f>
      </c>
      <c r="E24" s="4"/>
      <c r="F24" s="2"/>
      <c r="G24" s="2"/>
      <c r="H24" s="2"/>
      <c r="I24" s="8"/>
      <c r="J24" s="8"/>
      <c r="K24" s="8"/>
      <c r="L24" s="2"/>
      <c r="M24" s="9"/>
      <c r="N24" s="8"/>
      <c r="O24" s="10">
        <f t="shared" si="0"/>
      </c>
      <c r="P24" s="4"/>
      <c r="Q24" s="5">
        <f t="shared" si="1"/>
      </c>
      <c r="R24" s="4"/>
      <c r="S24" s="5">
        <f>IF($B24="","",$B24&amp;"-"&amp;COUNTIFS($B$2:$B24,$B24))</f>
      </c>
      <c r="T24" s="5">
        <f t="shared" si="2"/>
        <v>0</v>
      </c>
    </row>
    <row r="25" ht="27.75" customHeight="1" spans="1:20" x14ac:dyDescent="0.25">
      <c r="A25" s="2"/>
      <c r="B25" s="2"/>
      <c r="C25" s="7">
        <f>IF($B25="","",IFERROR(INDEX('Meetings (MOM)'!$B$2:$B$201,MATCH($B25,'Meetings (MOM)'!$A$2:$A$201,0)),""))</f>
      </c>
      <c r="D25" s="5">
        <f>IF($B25="","",IFERROR(INDEX('Meetings (MOM)'!$C$2:$C$201,MATCH($B25,'Meetings (MOM)'!$A$2:$A$201,0)),""))</f>
      </c>
      <c r="E25" s="4"/>
      <c r="F25" s="2"/>
      <c r="G25" s="2"/>
      <c r="H25" s="2"/>
      <c r="I25" s="8"/>
      <c r="J25" s="8"/>
      <c r="K25" s="8"/>
      <c r="L25" s="2"/>
      <c r="M25" s="9"/>
      <c r="N25" s="8"/>
      <c r="O25" s="10">
        <f t="shared" si="0"/>
      </c>
      <c r="P25" s="4"/>
      <c r="Q25" s="5">
        <f t="shared" si="1"/>
      </c>
      <c r="R25" s="4"/>
      <c r="S25" s="5">
        <f>IF($B25="","",$B25&amp;"-"&amp;COUNTIFS($B$2:$B25,$B25))</f>
      </c>
      <c r="T25" s="5">
        <f t="shared" si="2"/>
        <v>0</v>
      </c>
    </row>
    <row r="26" ht="27.75" customHeight="1" spans="1:20" x14ac:dyDescent="0.25">
      <c r="A26" s="2"/>
      <c r="B26" s="2"/>
      <c r="C26" s="7">
        <f>IF($B26="","",IFERROR(INDEX('Meetings (MOM)'!$B$2:$B$201,MATCH($B26,'Meetings (MOM)'!$A$2:$A$201,0)),""))</f>
      </c>
      <c r="D26" s="5">
        <f>IF($B26="","",IFERROR(INDEX('Meetings (MOM)'!$C$2:$C$201,MATCH($B26,'Meetings (MOM)'!$A$2:$A$201,0)),""))</f>
      </c>
      <c r="E26" s="4"/>
      <c r="F26" s="2"/>
      <c r="G26" s="2"/>
      <c r="H26" s="2"/>
      <c r="I26" s="8"/>
      <c r="J26" s="8"/>
      <c r="K26" s="8"/>
      <c r="L26" s="2"/>
      <c r="M26" s="9"/>
      <c r="N26" s="8"/>
      <c r="O26" s="10">
        <f t="shared" si="0"/>
      </c>
      <c r="P26" s="4"/>
      <c r="Q26" s="5">
        <f t="shared" si="1"/>
      </c>
      <c r="R26" s="4"/>
      <c r="S26" s="5">
        <f>IF($B26="","",$B26&amp;"-"&amp;COUNTIFS($B$2:$B26,$B26))</f>
      </c>
      <c r="T26" s="5">
        <f t="shared" si="2"/>
        <v>0</v>
      </c>
    </row>
    <row r="27" ht="27.75" customHeight="1" spans="1:20" x14ac:dyDescent="0.25">
      <c r="A27" s="2"/>
      <c r="B27" s="2"/>
      <c r="C27" s="7">
        <f>IF($B27="","",IFERROR(INDEX('Meetings (MOM)'!$B$2:$B$201,MATCH($B27,'Meetings (MOM)'!$A$2:$A$201,0)),""))</f>
      </c>
      <c r="D27" s="5">
        <f>IF($B27="","",IFERROR(INDEX('Meetings (MOM)'!$C$2:$C$201,MATCH($B27,'Meetings (MOM)'!$A$2:$A$201,0)),""))</f>
      </c>
      <c r="E27" s="4"/>
      <c r="F27" s="2"/>
      <c r="G27" s="2"/>
      <c r="H27" s="2"/>
      <c r="I27" s="8"/>
      <c r="J27" s="8"/>
      <c r="K27" s="8"/>
      <c r="L27" s="2"/>
      <c r="M27" s="9"/>
      <c r="N27" s="8"/>
      <c r="O27" s="10">
        <f t="shared" si="0"/>
      </c>
      <c r="P27" s="4"/>
      <c r="Q27" s="5">
        <f t="shared" si="1"/>
      </c>
      <c r="R27" s="4"/>
      <c r="S27" s="5">
        <f>IF($B27="","",$B27&amp;"-"&amp;COUNTIFS($B$2:$B27,$B27))</f>
      </c>
      <c r="T27" s="5">
        <f t="shared" si="2"/>
        <v>0</v>
      </c>
    </row>
    <row r="28" ht="27.75" customHeight="1" spans="1:20" x14ac:dyDescent="0.25">
      <c r="A28" s="2"/>
      <c r="B28" s="2"/>
      <c r="C28" s="7">
        <f>IF($B28="","",IFERROR(INDEX('Meetings (MOM)'!$B$2:$B$201,MATCH($B28,'Meetings (MOM)'!$A$2:$A$201,0)),""))</f>
      </c>
      <c r="D28" s="5">
        <f>IF($B28="","",IFERROR(INDEX('Meetings (MOM)'!$C$2:$C$201,MATCH($B28,'Meetings (MOM)'!$A$2:$A$201,0)),""))</f>
      </c>
      <c r="E28" s="4"/>
      <c r="F28" s="2"/>
      <c r="G28" s="2"/>
      <c r="H28" s="2"/>
      <c r="I28" s="8"/>
      <c r="J28" s="8"/>
      <c r="K28" s="8"/>
      <c r="L28" s="2"/>
      <c r="M28" s="9"/>
      <c r="N28" s="8"/>
      <c r="O28" s="10">
        <f t="shared" si="0"/>
      </c>
      <c r="P28" s="4"/>
      <c r="Q28" s="5">
        <f t="shared" si="1"/>
      </c>
      <c r="R28" s="4"/>
      <c r="S28" s="5">
        <f>IF($B28="","",$B28&amp;"-"&amp;COUNTIFS($B$2:$B28,$B28))</f>
      </c>
      <c r="T28" s="5">
        <f t="shared" si="2"/>
        <v>0</v>
      </c>
    </row>
    <row r="29" ht="27.75" customHeight="1" spans="1:20" x14ac:dyDescent="0.25">
      <c r="A29" s="2"/>
      <c r="B29" s="2"/>
      <c r="C29" s="7">
        <f>IF($B29="","",IFERROR(INDEX('Meetings (MOM)'!$B$2:$B$201,MATCH($B29,'Meetings (MOM)'!$A$2:$A$201,0)),""))</f>
      </c>
      <c r="D29" s="5">
        <f>IF($B29="","",IFERROR(INDEX('Meetings (MOM)'!$C$2:$C$201,MATCH($B29,'Meetings (MOM)'!$A$2:$A$201,0)),""))</f>
      </c>
      <c r="E29" s="4"/>
      <c r="F29" s="2"/>
      <c r="G29" s="2"/>
      <c r="H29" s="2"/>
      <c r="I29" s="8"/>
      <c r="J29" s="8"/>
      <c r="K29" s="8"/>
      <c r="L29" s="2"/>
      <c r="M29" s="9"/>
      <c r="N29" s="8"/>
      <c r="O29" s="10">
        <f t="shared" si="0"/>
      </c>
      <c r="P29" s="4"/>
      <c r="Q29" s="5">
        <f t="shared" si="1"/>
      </c>
      <c r="R29" s="4"/>
      <c r="S29" s="5">
        <f>IF($B29="","",$B29&amp;"-"&amp;COUNTIFS($B$2:$B29,$B29))</f>
      </c>
      <c r="T29" s="5">
        <f t="shared" si="2"/>
        <v>0</v>
      </c>
    </row>
    <row r="30" ht="27.75" customHeight="1" spans="1:20" x14ac:dyDescent="0.25">
      <c r="A30" s="2"/>
      <c r="B30" s="2"/>
      <c r="C30" s="7">
        <f>IF($B30="","",IFERROR(INDEX('Meetings (MOM)'!$B$2:$B$201,MATCH($B30,'Meetings (MOM)'!$A$2:$A$201,0)),""))</f>
      </c>
      <c r="D30" s="5">
        <f>IF($B30="","",IFERROR(INDEX('Meetings (MOM)'!$C$2:$C$201,MATCH($B30,'Meetings (MOM)'!$A$2:$A$201,0)),""))</f>
      </c>
      <c r="E30" s="4"/>
      <c r="F30" s="2"/>
      <c r="G30" s="2"/>
      <c r="H30" s="2"/>
      <c r="I30" s="8"/>
      <c r="J30" s="8"/>
      <c r="K30" s="8"/>
      <c r="L30" s="2"/>
      <c r="M30" s="9"/>
      <c r="N30" s="8"/>
      <c r="O30" s="10">
        <f t="shared" si="0"/>
      </c>
      <c r="P30" s="4"/>
      <c r="Q30" s="5">
        <f t="shared" si="1"/>
      </c>
      <c r="R30" s="4"/>
      <c r="S30" s="5">
        <f>IF($B30="","",$B30&amp;"-"&amp;COUNTIFS($B$2:$B30,$B30))</f>
      </c>
      <c r="T30" s="5">
        <f t="shared" si="2"/>
        <v>0</v>
      </c>
    </row>
    <row r="31" ht="27.75" customHeight="1" spans="1:20" x14ac:dyDescent="0.25">
      <c r="A31" s="2"/>
      <c r="B31" s="2"/>
      <c r="C31" s="7">
        <f>IF($B31="","",IFERROR(INDEX('Meetings (MOM)'!$B$2:$B$201,MATCH($B31,'Meetings (MOM)'!$A$2:$A$201,0)),""))</f>
      </c>
      <c r="D31" s="5">
        <f>IF($B31="","",IFERROR(INDEX('Meetings (MOM)'!$C$2:$C$201,MATCH($B31,'Meetings (MOM)'!$A$2:$A$201,0)),""))</f>
      </c>
      <c r="E31" s="4"/>
      <c r="F31" s="2"/>
      <c r="G31" s="2"/>
      <c r="H31" s="2"/>
      <c r="I31" s="8"/>
      <c r="J31" s="8"/>
      <c r="K31" s="8"/>
      <c r="L31" s="2"/>
      <c r="M31" s="9"/>
      <c r="N31" s="8"/>
      <c r="O31" s="10">
        <f t="shared" si="0"/>
      </c>
      <c r="P31" s="4"/>
      <c r="Q31" s="5">
        <f t="shared" si="1"/>
      </c>
      <c r="R31" s="4"/>
      <c r="S31" s="5">
        <f>IF($B31="","",$B31&amp;"-"&amp;COUNTIFS($B$2:$B31,$B31))</f>
      </c>
      <c r="T31" s="5">
        <f t="shared" si="2"/>
        <v>0</v>
      </c>
    </row>
    <row r="32" ht="27.75" customHeight="1" spans="1:20" x14ac:dyDescent="0.25">
      <c r="A32" s="2"/>
      <c r="B32" s="2"/>
      <c r="C32" s="7">
        <f>IF($B32="","",IFERROR(INDEX('Meetings (MOM)'!$B$2:$B$201,MATCH($B32,'Meetings (MOM)'!$A$2:$A$201,0)),""))</f>
      </c>
      <c r="D32" s="5">
        <f>IF($B32="","",IFERROR(INDEX('Meetings (MOM)'!$C$2:$C$201,MATCH($B32,'Meetings (MOM)'!$A$2:$A$201,0)),""))</f>
      </c>
      <c r="E32" s="4"/>
      <c r="F32" s="2"/>
      <c r="G32" s="2"/>
      <c r="H32" s="2"/>
      <c r="I32" s="8"/>
      <c r="J32" s="8"/>
      <c r="K32" s="8"/>
      <c r="L32" s="2"/>
      <c r="M32" s="9"/>
      <c r="N32" s="8"/>
      <c r="O32" s="10">
        <f t="shared" si="0"/>
      </c>
      <c r="P32" s="4"/>
      <c r="Q32" s="5">
        <f t="shared" si="1"/>
      </c>
      <c r="R32" s="4"/>
      <c r="S32" s="5">
        <f>IF($B32="","",$B32&amp;"-"&amp;COUNTIFS($B$2:$B32,$B32))</f>
      </c>
      <c r="T32" s="5">
        <f t="shared" si="2"/>
        <v>0</v>
      </c>
    </row>
    <row r="33" ht="27.75" customHeight="1" spans="1:20" x14ac:dyDescent="0.25">
      <c r="A33" s="2"/>
      <c r="B33" s="2"/>
      <c r="C33" s="7">
        <f>IF($B33="","",IFERROR(INDEX('Meetings (MOM)'!$B$2:$B$201,MATCH($B33,'Meetings (MOM)'!$A$2:$A$201,0)),""))</f>
      </c>
      <c r="D33" s="5">
        <f>IF($B33="","",IFERROR(INDEX('Meetings (MOM)'!$C$2:$C$201,MATCH($B33,'Meetings (MOM)'!$A$2:$A$201,0)),""))</f>
      </c>
      <c r="E33" s="4"/>
      <c r="F33" s="2"/>
      <c r="G33" s="2"/>
      <c r="H33" s="2"/>
      <c r="I33" s="8"/>
      <c r="J33" s="8"/>
      <c r="K33" s="8"/>
      <c r="L33" s="2"/>
      <c r="M33" s="9"/>
      <c r="N33" s="8"/>
      <c r="O33" s="10">
        <f t="shared" si="0"/>
      </c>
      <c r="P33" s="4"/>
      <c r="Q33" s="5">
        <f t="shared" si="1"/>
      </c>
      <c r="R33" s="4"/>
      <c r="S33" s="5">
        <f>IF($B33="","",$B33&amp;"-"&amp;COUNTIFS($B$2:$B33,$B33))</f>
      </c>
      <c r="T33" s="5">
        <f t="shared" si="2"/>
        <v>0</v>
      </c>
    </row>
    <row r="34" ht="27.75" customHeight="1" spans="1:20" x14ac:dyDescent="0.25">
      <c r="A34" s="2"/>
      <c r="B34" s="2"/>
      <c r="C34" s="7">
        <f>IF($B34="","",IFERROR(INDEX('Meetings (MOM)'!$B$2:$B$201,MATCH($B34,'Meetings (MOM)'!$A$2:$A$201,0)),""))</f>
      </c>
      <c r="D34" s="5">
        <f>IF($B34="","",IFERROR(INDEX('Meetings (MOM)'!$C$2:$C$201,MATCH($B34,'Meetings (MOM)'!$A$2:$A$201,0)),""))</f>
      </c>
      <c r="E34" s="4"/>
      <c r="F34" s="2"/>
      <c r="G34" s="2"/>
      <c r="H34" s="2"/>
      <c r="I34" s="8"/>
      <c r="J34" s="8"/>
      <c r="K34" s="8"/>
      <c r="L34" s="2"/>
      <c r="M34" s="9"/>
      <c r="N34" s="8"/>
      <c r="O34" s="10">
        <f t="shared" si="0"/>
      </c>
      <c r="P34" s="4"/>
      <c r="Q34" s="5">
        <f t="shared" si="1"/>
      </c>
      <c r="R34" s="4"/>
      <c r="S34" s="5">
        <f>IF($B34="","",$B34&amp;"-"&amp;COUNTIFS($B$2:$B34,$B34))</f>
      </c>
      <c r="T34" s="5">
        <f t="shared" si="2"/>
        <v>0</v>
      </c>
    </row>
    <row r="35" ht="27.75" customHeight="1" spans="1:20" x14ac:dyDescent="0.25">
      <c r="A35" s="2"/>
      <c r="B35" s="2"/>
      <c r="C35" s="7">
        <f>IF($B35="","",IFERROR(INDEX('Meetings (MOM)'!$B$2:$B$201,MATCH($B35,'Meetings (MOM)'!$A$2:$A$201,0)),""))</f>
      </c>
      <c r="D35" s="5">
        <f>IF($B35="","",IFERROR(INDEX('Meetings (MOM)'!$C$2:$C$201,MATCH($B35,'Meetings (MOM)'!$A$2:$A$201,0)),""))</f>
      </c>
      <c r="E35" s="4"/>
      <c r="F35" s="2"/>
      <c r="G35" s="2"/>
      <c r="H35" s="2"/>
      <c r="I35" s="8"/>
      <c r="J35" s="8"/>
      <c r="K35" s="8"/>
      <c r="L35" s="2"/>
      <c r="M35" s="9"/>
      <c r="N35" s="8"/>
      <c r="O35" s="10">
        <f t="shared" si="0"/>
      </c>
      <c r="P35" s="4"/>
      <c r="Q35" s="5">
        <f t="shared" si="1"/>
      </c>
      <c r="R35" s="4"/>
      <c r="S35" s="5">
        <f>IF($B35="","",$B35&amp;"-"&amp;COUNTIFS($B$2:$B35,$B35))</f>
      </c>
      <c r="T35" s="5">
        <f t="shared" si="2"/>
        <v>0</v>
      </c>
    </row>
    <row r="36" ht="27.75" customHeight="1" spans="1:20" x14ac:dyDescent="0.25">
      <c r="A36" s="2"/>
      <c r="B36" s="2"/>
      <c r="C36" s="7">
        <f>IF($B36="","",IFERROR(INDEX('Meetings (MOM)'!$B$2:$B$201,MATCH($B36,'Meetings (MOM)'!$A$2:$A$201,0)),""))</f>
      </c>
      <c r="D36" s="5">
        <f>IF($B36="","",IFERROR(INDEX('Meetings (MOM)'!$C$2:$C$201,MATCH($B36,'Meetings (MOM)'!$A$2:$A$201,0)),""))</f>
      </c>
      <c r="E36" s="4"/>
      <c r="F36" s="2"/>
      <c r="G36" s="2"/>
      <c r="H36" s="2"/>
      <c r="I36" s="8"/>
      <c r="J36" s="8"/>
      <c r="K36" s="8"/>
      <c r="L36" s="2"/>
      <c r="M36" s="9"/>
      <c r="N36" s="8"/>
      <c r="O36" s="10">
        <f t="shared" si="0"/>
      </c>
      <c r="P36" s="4"/>
      <c r="Q36" s="5">
        <f t="shared" si="1"/>
      </c>
      <c r="R36" s="4"/>
      <c r="S36" s="5">
        <f>IF($B36="","",$B36&amp;"-"&amp;COUNTIFS($B$2:$B36,$B36))</f>
      </c>
      <c r="T36" s="5">
        <f t="shared" si="2"/>
        <v>0</v>
      </c>
    </row>
    <row r="37" ht="27.75" customHeight="1" spans="1:20" x14ac:dyDescent="0.25">
      <c r="A37" s="2"/>
      <c r="B37" s="2"/>
      <c r="C37" s="7">
        <f>IF($B37="","",IFERROR(INDEX('Meetings (MOM)'!$B$2:$B$201,MATCH($B37,'Meetings (MOM)'!$A$2:$A$201,0)),""))</f>
      </c>
      <c r="D37" s="5">
        <f>IF($B37="","",IFERROR(INDEX('Meetings (MOM)'!$C$2:$C$201,MATCH($B37,'Meetings (MOM)'!$A$2:$A$201,0)),""))</f>
      </c>
      <c r="E37" s="4"/>
      <c r="F37" s="2"/>
      <c r="G37" s="2"/>
      <c r="H37" s="2"/>
      <c r="I37" s="8"/>
      <c r="J37" s="8"/>
      <c r="K37" s="8"/>
      <c r="L37" s="2"/>
      <c r="M37" s="9"/>
      <c r="N37" s="8"/>
      <c r="O37" s="10">
        <f t="shared" si="0"/>
      </c>
      <c r="P37" s="4"/>
      <c r="Q37" s="5">
        <f t="shared" si="1"/>
      </c>
      <c r="R37" s="4"/>
      <c r="S37" s="5">
        <f>IF($B37="","",$B37&amp;"-"&amp;COUNTIFS($B$2:$B37,$B37))</f>
      </c>
      <c r="T37" s="5">
        <f t="shared" si="2"/>
        <v>0</v>
      </c>
    </row>
    <row r="38" ht="27.75" customHeight="1" spans="1:20" x14ac:dyDescent="0.25">
      <c r="A38" s="2"/>
      <c r="B38" s="2"/>
      <c r="C38" s="7">
        <f>IF($B38="","",IFERROR(INDEX('Meetings (MOM)'!$B$2:$B$201,MATCH($B38,'Meetings (MOM)'!$A$2:$A$201,0)),""))</f>
      </c>
      <c r="D38" s="5">
        <f>IF($B38="","",IFERROR(INDEX('Meetings (MOM)'!$C$2:$C$201,MATCH($B38,'Meetings (MOM)'!$A$2:$A$201,0)),""))</f>
      </c>
      <c r="E38" s="4"/>
      <c r="F38" s="2"/>
      <c r="G38" s="2"/>
      <c r="H38" s="2"/>
      <c r="I38" s="8"/>
      <c r="J38" s="8"/>
      <c r="K38" s="8"/>
      <c r="L38" s="2"/>
      <c r="M38" s="9"/>
      <c r="N38" s="8"/>
      <c r="O38" s="10">
        <f t="shared" si="0"/>
      </c>
      <c r="P38" s="4"/>
      <c r="Q38" s="5">
        <f t="shared" si="1"/>
      </c>
      <c r="R38" s="4"/>
      <c r="S38" s="5">
        <f>IF($B38="","",$B38&amp;"-"&amp;COUNTIFS($B$2:$B38,$B38))</f>
      </c>
      <c r="T38" s="5">
        <f t="shared" si="2"/>
        <v>0</v>
      </c>
    </row>
    <row r="39" ht="27.75" customHeight="1" spans="1:20" x14ac:dyDescent="0.25">
      <c r="A39" s="2"/>
      <c r="B39" s="2"/>
      <c r="C39" s="7">
        <f>IF($B39="","",IFERROR(INDEX('Meetings (MOM)'!$B$2:$B$201,MATCH($B39,'Meetings (MOM)'!$A$2:$A$201,0)),""))</f>
      </c>
      <c r="D39" s="5">
        <f>IF($B39="","",IFERROR(INDEX('Meetings (MOM)'!$C$2:$C$201,MATCH($B39,'Meetings (MOM)'!$A$2:$A$201,0)),""))</f>
      </c>
      <c r="E39" s="4"/>
      <c r="F39" s="2"/>
      <c r="G39" s="2"/>
      <c r="H39" s="2"/>
      <c r="I39" s="8"/>
      <c r="J39" s="8"/>
      <c r="K39" s="8"/>
      <c r="L39" s="2"/>
      <c r="M39" s="9"/>
      <c r="N39" s="8"/>
      <c r="O39" s="10">
        <f t="shared" si="0"/>
      </c>
      <c r="P39" s="4"/>
      <c r="Q39" s="5">
        <f t="shared" si="1"/>
      </c>
      <c r="R39" s="4"/>
      <c r="S39" s="5">
        <f>IF($B39="","",$B39&amp;"-"&amp;COUNTIFS($B$2:$B39,$B39))</f>
      </c>
      <c r="T39" s="5">
        <f t="shared" si="2"/>
        <v>0</v>
      </c>
    </row>
    <row r="40" ht="27.75" customHeight="1" spans="1:20" x14ac:dyDescent="0.25">
      <c r="A40" s="2"/>
      <c r="B40" s="2"/>
      <c r="C40" s="7">
        <f>IF($B40="","",IFERROR(INDEX('Meetings (MOM)'!$B$2:$B$201,MATCH($B40,'Meetings (MOM)'!$A$2:$A$201,0)),""))</f>
      </c>
      <c r="D40" s="5">
        <f>IF($B40="","",IFERROR(INDEX('Meetings (MOM)'!$C$2:$C$201,MATCH($B40,'Meetings (MOM)'!$A$2:$A$201,0)),""))</f>
      </c>
      <c r="E40" s="4"/>
      <c r="F40" s="2"/>
      <c r="G40" s="2"/>
      <c r="H40" s="2"/>
      <c r="I40" s="8"/>
      <c r="J40" s="8"/>
      <c r="K40" s="8"/>
      <c r="L40" s="2"/>
      <c r="M40" s="9"/>
      <c r="N40" s="8"/>
      <c r="O40" s="10">
        <f t="shared" si="0"/>
      </c>
      <c r="P40" s="4"/>
      <c r="Q40" s="5">
        <f t="shared" si="1"/>
      </c>
      <c r="R40" s="4"/>
      <c r="S40" s="5">
        <f>IF($B40="","",$B40&amp;"-"&amp;COUNTIFS($B$2:$B40,$B40))</f>
      </c>
      <c r="T40" s="5">
        <f t="shared" si="2"/>
        <v>0</v>
      </c>
    </row>
    <row r="41" ht="27.75" customHeight="1" spans="1:20" x14ac:dyDescent="0.25">
      <c r="A41" s="2"/>
      <c r="B41" s="2"/>
      <c r="C41" s="7">
        <f>IF($B41="","",IFERROR(INDEX('Meetings (MOM)'!$B$2:$B$201,MATCH($B41,'Meetings (MOM)'!$A$2:$A$201,0)),""))</f>
      </c>
      <c r="D41" s="5">
        <f>IF($B41="","",IFERROR(INDEX('Meetings (MOM)'!$C$2:$C$201,MATCH($B41,'Meetings (MOM)'!$A$2:$A$201,0)),""))</f>
      </c>
      <c r="E41" s="4"/>
      <c r="F41" s="2"/>
      <c r="G41" s="2"/>
      <c r="H41" s="2"/>
      <c r="I41" s="8"/>
      <c r="J41" s="8"/>
      <c r="K41" s="8"/>
      <c r="L41" s="2"/>
      <c r="M41" s="9"/>
      <c r="N41" s="8"/>
      <c r="O41" s="10">
        <f t="shared" si="0"/>
      </c>
      <c r="P41" s="4"/>
      <c r="Q41" s="5">
        <f t="shared" si="1"/>
      </c>
      <c r="R41" s="4"/>
      <c r="S41" s="5">
        <f>IF($B41="","",$B41&amp;"-"&amp;COUNTIFS($B$2:$B41,$B41))</f>
      </c>
      <c r="T41" s="5">
        <f t="shared" si="2"/>
        <v>0</v>
      </c>
    </row>
    <row r="42" ht="27.75" customHeight="1" spans="1:20" x14ac:dyDescent="0.25">
      <c r="A42" s="2"/>
      <c r="B42" s="2"/>
      <c r="C42" s="7">
        <f>IF($B42="","",IFERROR(INDEX('Meetings (MOM)'!$B$2:$B$201,MATCH($B42,'Meetings (MOM)'!$A$2:$A$201,0)),""))</f>
      </c>
      <c r="D42" s="5">
        <f>IF($B42="","",IFERROR(INDEX('Meetings (MOM)'!$C$2:$C$201,MATCH($B42,'Meetings (MOM)'!$A$2:$A$201,0)),""))</f>
      </c>
      <c r="E42" s="4"/>
      <c r="F42" s="2"/>
      <c r="G42" s="2"/>
      <c r="H42" s="2"/>
      <c r="I42" s="8"/>
      <c r="J42" s="8"/>
      <c r="K42" s="8"/>
      <c r="L42" s="2"/>
      <c r="M42" s="9"/>
      <c r="N42" s="8"/>
      <c r="O42" s="10">
        <f t="shared" si="0"/>
      </c>
      <c r="P42" s="4"/>
      <c r="Q42" s="5">
        <f t="shared" si="1"/>
      </c>
      <c r="R42" s="4"/>
      <c r="S42" s="5">
        <f>IF($B42="","",$B42&amp;"-"&amp;COUNTIFS($B$2:$B42,$B42))</f>
      </c>
      <c r="T42" s="5">
        <f t="shared" si="2"/>
        <v>0</v>
      </c>
    </row>
    <row r="43" ht="27.75" customHeight="1" spans="1:20" x14ac:dyDescent="0.25">
      <c r="A43" s="2"/>
      <c r="B43" s="2"/>
      <c r="C43" s="7">
        <f>IF($B43="","",IFERROR(INDEX('Meetings (MOM)'!$B$2:$B$201,MATCH($B43,'Meetings (MOM)'!$A$2:$A$201,0)),""))</f>
      </c>
      <c r="D43" s="5">
        <f>IF($B43="","",IFERROR(INDEX('Meetings (MOM)'!$C$2:$C$201,MATCH($B43,'Meetings (MOM)'!$A$2:$A$201,0)),""))</f>
      </c>
      <c r="E43" s="4"/>
      <c r="F43" s="2"/>
      <c r="G43" s="2"/>
      <c r="H43" s="2"/>
      <c r="I43" s="8"/>
      <c r="J43" s="8"/>
      <c r="K43" s="8"/>
      <c r="L43" s="2"/>
      <c r="M43" s="9"/>
      <c r="N43" s="8"/>
      <c r="O43" s="10">
        <f t="shared" si="0"/>
      </c>
      <c r="P43" s="4"/>
      <c r="Q43" s="5">
        <f t="shared" si="1"/>
      </c>
      <c r="R43" s="4"/>
      <c r="S43" s="5">
        <f>IF($B43="","",$B43&amp;"-"&amp;COUNTIFS($B$2:$B43,$B43))</f>
      </c>
      <c r="T43" s="5">
        <f t="shared" si="2"/>
        <v>0</v>
      </c>
    </row>
    <row r="44" ht="27.75" customHeight="1" spans="1:20" x14ac:dyDescent="0.25">
      <c r="A44" s="2"/>
      <c r="B44" s="2"/>
      <c r="C44" s="7">
        <f>IF($B44="","",IFERROR(INDEX('Meetings (MOM)'!$B$2:$B$201,MATCH($B44,'Meetings (MOM)'!$A$2:$A$201,0)),""))</f>
      </c>
      <c r="D44" s="5">
        <f>IF($B44="","",IFERROR(INDEX('Meetings (MOM)'!$C$2:$C$201,MATCH($B44,'Meetings (MOM)'!$A$2:$A$201,0)),""))</f>
      </c>
      <c r="E44" s="4"/>
      <c r="F44" s="2"/>
      <c r="G44" s="2"/>
      <c r="H44" s="2"/>
      <c r="I44" s="8"/>
      <c r="J44" s="8"/>
      <c r="K44" s="8"/>
      <c r="L44" s="2"/>
      <c r="M44" s="9"/>
      <c r="N44" s="8"/>
      <c r="O44" s="10">
        <f t="shared" si="0"/>
      </c>
      <c r="P44" s="4"/>
      <c r="Q44" s="5">
        <f t="shared" si="1"/>
      </c>
      <c r="R44" s="4"/>
      <c r="S44" s="5">
        <f>IF($B44="","",$B44&amp;"-"&amp;COUNTIFS($B$2:$B44,$B44))</f>
      </c>
      <c r="T44" s="5">
        <f t="shared" si="2"/>
        <v>0</v>
      </c>
    </row>
    <row r="45" ht="27.75" customHeight="1" spans="1:20" x14ac:dyDescent="0.25">
      <c r="A45" s="2"/>
      <c r="B45" s="2"/>
      <c r="C45" s="7">
        <f>IF($B45="","",IFERROR(INDEX('Meetings (MOM)'!$B$2:$B$201,MATCH($B45,'Meetings (MOM)'!$A$2:$A$201,0)),""))</f>
      </c>
      <c r="D45" s="5">
        <f>IF($B45="","",IFERROR(INDEX('Meetings (MOM)'!$C$2:$C$201,MATCH($B45,'Meetings (MOM)'!$A$2:$A$201,0)),""))</f>
      </c>
      <c r="E45" s="4"/>
      <c r="F45" s="2"/>
      <c r="G45" s="2"/>
      <c r="H45" s="2"/>
      <c r="I45" s="8"/>
      <c r="J45" s="8"/>
      <c r="K45" s="8"/>
      <c r="L45" s="2"/>
      <c r="M45" s="9"/>
      <c r="N45" s="8"/>
      <c r="O45" s="10">
        <f t="shared" si="0"/>
      </c>
      <c r="P45" s="4"/>
      <c r="Q45" s="5">
        <f t="shared" si="1"/>
      </c>
      <c r="R45" s="4"/>
      <c r="S45" s="5">
        <f>IF($B45="","",$B45&amp;"-"&amp;COUNTIFS($B$2:$B45,$B45))</f>
      </c>
      <c r="T45" s="5">
        <f t="shared" si="2"/>
        <v>0</v>
      </c>
    </row>
    <row r="46" ht="27.75" customHeight="1" spans="1:20" x14ac:dyDescent="0.25">
      <c r="A46" s="2"/>
      <c r="B46" s="2"/>
      <c r="C46" s="7">
        <f>IF($B46="","",IFERROR(INDEX('Meetings (MOM)'!$B$2:$B$201,MATCH($B46,'Meetings (MOM)'!$A$2:$A$201,0)),""))</f>
      </c>
      <c r="D46" s="5">
        <f>IF($B46="","",IFERROR(INDEX('Meetings (MOM)'!$C$2:$C$201,MATCH($B46,'Meetings (MOM)'!$A$2:$A$201,0)),""))</f>
      </c>
      <c r="E46" s="4"/>
      <c r="F46" s="2"/>
      <c r="G46" s="2"/>
      <c r="H46" s="2"/>
      <c r="I46" s="8"/>
      <c r="J46" s="8"/>
      <c r="K46" s="8"/>
      <c r="L46" s="2"/>
      <c r="M46" s="9"/>
      <c r="N46" s="8"/>
      <c r="O46" s="10">
        <f t="shared" si="0"/>
      </c>
      <c r="P46" s="4"/>
      <c r="Q46" s="5">
        <f t="shared" si="1"/>
      </c>
      <c r="R46" s="4"/>
      <c r="S46" s="5">
        <f>IF($B46="","",$B46&amp;"-"&amp;COUNTIFS($B$2:$B46,$B46))</f>
      </c>
      <c r="T46" s="5">
        <f t="shared" si="2"/>
        <v>0</v>
      </c>
    </row>
    <row r="47" ht="27.75" customHeight="1" spans="1:20" x14ac:dyDescent="0.25">
      <c r="A47" s="2"/>
      <c r="B47" s="2"/>
      <c r="C47" s="7">
        <f>IF($B47="","",IFERROR(INDEX('Meetings (MOM)'!$B$2:$B$201,MATCH($B47,'Meetings (MOM)'!$A$2:$A$201,0)),""))</f>
      </c>
      <c r="D47" s="5">
        <f>IF($B47="","",IFERROR(INDEX('Meetings (MOM)'!$C$2:$C$201,MATCH($B47,'Meetings (MOM)'!$A$2:$A$201,0)),""))</f>
      </c>
      <c r="E47" s="4"/>
      <c r="F47" s="2"/>
      <c r="G47" s="2"/>
      <c r="H47" s="2"/>
      <c r="I47" s="8"/>
      <c r="J47" s="8"/>
      <c r="K47" s="8"/>
      <c r="L47" s="2"/>
      <c r="M47" s="9"/>
      <c r="N47" s="8"/>
      <c r="O47" s="10">
        <f t="shared" si="0"/>
      </c>
      <c r="P47" s="4"/>
      <c r="Q47" s="5">
        <f t="shared" si="1"/>
      </c>
      <c r="R47" s="4"/>
      <c r="S47" s="5">
        <f>IF($B47="","",$B47&amp;"-"&amp;COUNTIFS($B$2:$B47,$B47))</f>
      </c>
      <c r="T47" s="5">
        <f t="shared" si="2"/>
        <v>0</v>
      </c>
    </row>
    <row r="48" ht="27.75" customHeight="1" spans="1:20" x14ac:dyDescent="0.25">
      <c r="A48" s="2"/>
      <c r="B48" s="2"/>
      <c r="C48" s="7">
        <f>IF($B48="","",IFERROR(INDEX('Meetings (MOM)'!$B$2:$B$201,MATCH($B48,'Meetings (MOM)'!$A$2:$A$201,0)),""))</f>
      </c>
      <c r="D48" s="5">
        <f>IF($B48="","",IFERROR(INDEX('Meetings (MOM)'!$C$2:$C$201,MATCH($B48,'Meetings (MOM)'!$A$2:$A$201,0)),""))</f>
      </c>
      <c r="E48" s="4"/>
      <c r="F48" s="2"/>
      <c r="G48" s="2"/>
      <c r="H48" s="2"/>
      <c r="I48" s="8"/>
      <c r="J48" s="8"/>
      <c r="K48" s="8"/>
      <c r="L48" s="2"/>
      <c r="M48" s="9"/>
      <c r="N48" s="8"/>
      <c r="O48" s="10">
        <f t="shared" si="0"/>
      </c>
      <c r="P48" s="4"/>
      <c r="Q48" s="5">
        <f t="shared" si="1"/>
      </c>
      <c r="R48" s="4"/>
      <c r="S48" s="5">
        <f>IF($B48="","",$B48&amp;"-"&amp;COUNTIFS($B$2:$B48,$B48))</f>
      </c>
      <c r="T48" s="5">
        <f t="shared" si="2"/>
        <v>0</v>
      </c>
    </row>
    <row r="49" ht="27.75" customHeight="1" spans="1:20" x14ac:dyDescent="0.25">
      <c r="A49" s="2"/>
      <c r="B49" s="2"/>
      <c r="C49" s="7">
        <f>IF($B49="","",IFERROR(INDEX('Meetings (MOM)'!$B$2:$B$201,MATCH($B49,'Meetings (MOM)'!$A$2:$A$201,0)),""))</f>
      </c>
      <c r="D49" s="5">
        <f>IF($B49="","",IFERROR(INDEX('Meetings (MOM)'!$C$2:$C$201,MATCH($B49,'Meetings (MOM)'!$A$2:$A$201,0)),""))</f>
      </c>
      <c r="E49" s="4"/>
      <c r="F49" s="2"/>
      <c r="G49" s="2"/>
      <c r="H49" s="2"/>
      <c r="I49" s="8"/>
      <c r="J49" s="8"/>
      <c r="K49" s="8"/>
      <c r="L49" s="2"/>
      <c r="M49" s="9"/>
      <c r="N49" s="8"/>
      <c r="O49" s="10">
        <f t="shared" si="0"/>
      </c>
      <c r="P49" s="4"/>
      <c r="Q49" s="5">
        <f t="shared" si="1"/>
      </c>
      <c r="R49" s="4"/>
      <c r="S49" s="5">
        <f>IF($B49="","",$B49&amp;"-"&amp;COUNTIFS($B$2:$B49,$B49))</f>
      </c>
      <c r="T49" s="5">
        <f t="shared" si="2"/>
        <v>0</v>
      </c>
    </row>
    <row r="50" ht="27.75" customHeight="1" spans="1:20" x14ac:dyDescent="0.25">
      <c r="A50" s="2"/>
      <c r="B50" s="2"/>
      <c r="C50" s="7">
        <f>IF($B50="","",IFERROR(INDEX('Meetings (MOM)'!$B$2:$B$201,MATCH($B50,'Meetings (MOM)'!$A$2:$A$201,0)),""))</f>
      </c>
      <c r="D50" s="5">
        <f>IF($B50="","",IFERROR(INDEX('Meetings (MOM)'!$C$2:$C$201,MATCH($B50,'Meetings (MOM)'!$A$2:$A$201,0)),""))</f>
      </c>
      <c r="E50" s="4"/>
      <c r="F50" s="2"/>
      <c r="G50" s="2"/>
      <c r="H50" s="2"/>
      <c r="I50" s="8"/>
      <c r="J50" s="8"/>
      <c r="K50" s="8"/>
      <c r="L50" s="2"/>
      <c r="M50" s="9"/>
      <c r="N50" s="8"/>
      <c r="O50" s="10">
        <f t="shared" si="0"/>
      </c>
      <c r="P50" s="4"/>
      <c r="Q50" s="5">
        <f t="shared" si="1"/>
      </c>
      <c r="R50" s="4"/>
      <c r="S50" s="5">
        <f>IF($B50="","",$B50&amp;"-"&amp;COUNTIFS($B$2:$B50,$B50))</f>
      </c>
      <c r="T50" s="5">
        <f t="shared" si="2"/>
        <v>0</v>
      </c>
    </row>
    <row r="51" ht="27.75" customHeight="1" spans="1:20" x14ac:dyDescent="0.25">
      <c r="A51" s="2"/>
      <c r="B51" s="2"/>
      <c r="C51" s="7">
        <f>IF($B51="","",IFERROR(INDEX('Meetings (MOM)'!$B$2:$B$201,MATCH($B51,'Meetings (MOM)'!$A$2:$A$201,0)),""))</f>
      </c>
      <c r="D51" s="5">
        <f>IF($B51="","",IFERROR(INDEX('Meetings (MOM)'!$C$2:$C$201,MATCH($B51,'Meetings (MOM)'!$A$2:$A$201,0)),""))</f>
      </c>
      <c r="E51" s="4"/>
      <c r="F51" s="2"/>
      <c r="G51" s="2"/>
      <c r="H51" s="2"/>
      <c r="I51" s="8"/>
      <c r="J51" s="8"/>
      <c r="K51" s="8"/>
      <c r="L51" s="2"/>
      <c r="M51" s="9"/>
      <c r="N51" s="8"/>
      <c r="O51" s="10">
        <f t="shared" si="0"/>
      </c>
      <c r="P51" s="4"/>
      <c r="Q51" s="5">
        <f t="shared" si="1"/>
      </c>
      <c r="R51" s="4"/>
      <c r="S51" s="5">
        <f>IF($B51="","",$B51&amp;"-"&amp;COUNTIFS($B$2:$B51,$B51))</f>
      </c>
      <c r="T51" s="5">
        <f t="shared" si="2"/>
        <v>0</v>
      </c>
    </row>
    <row r="52" ht="27.75" customHeight="1" spans="1:20" x14ac:dyDescent="0.25">
      <c r="A52" s="2"/>
      <c r="B52" s="2"/>
      <c r="C52" s="7">
        <f>IF($B52="","",IFERROR(INDEX('Meetings (MOM)'!$B$2:$B$201,MATCH($B52,'Meetings (MOM)'!$A$2:$A$201,0)),""))</f>
      </c>
      <c r="D52" s="5">
        <f>IF($B52="","",IFERROR(INDEX('Meetings (MOM)'!$C$2:$C$201,MATCH($B52,'Meetings (MOM)'!$A$2:$A$201,0)),""))</f>
      </c>
      <c r="E52" s="4"/>
      <c r="F52" s="2"/>
      <c r="G52" s="2"/>
      <c r="H52" s="2"/>
      <c r="I52" s="8"/>
      <c r="J52" s="8"/>
      <c r="K52" s="8"/>
      <c r="L52" s="2"/>
      <c r="M52" s="9"/>
      <c r="N52" s="8"/>
      <c r="O52" s="10">
        <f t="shared" si="0"/>
      </c>
      <c r="P52" s="4"/>
      <c r="Q52" s="5">
        <f t="shared" si="1"/>
      </c>
      <c r="R52" s="4"/>
      <c r="S52" s="5">
        <f>IF($B52="","",$B52&amp;"-"&amp;COUNTIFS($B$2:$B52,$B52))</f>
      </c>
      <c r="T52" s="5">
        <f t="shared" si="2"/>
        <v>0</v>
      </c>
    </row>
    <row r="53" ht="27.75" customHeight="1" spans="1:20" x14ac:dyDescent="0.25">
      <c r="A53" s="2"/>
      <c r="B53" s="2"/>
      <c r="C53" s="7">
        <f>IF($B53="","",IFERROR(INDEX('Meetings (MOM)'!$B$2:$B$201,MATCH($B53,'Meetings (MOM)'!$A$2:$A$201,0)),""))</f>
      </c>
      <c r="D53" s="5">
        <f>IF($B53="","",IFERROR(INDEX('Meetings (MOM)'!$C$2:$C$201,MATCH($B53,'Meetings (MOM)'!$A$2:$A$201,0)),""))</f>
      </c>
      <c r="E53" s="4"/>
      <c r="F53" s="2"/>
      <c r="G53" s="2"/>
      <c r="H53" s="2"/>
      <c r="I53" s="8"/>
      <c r="J53" s="8"/>
      <c r="K53" s="8"/>
      <c r="L53" s="2"/>
      <c r="M53" s="9"/>
      <c r="N53" s="8"/>
      <c r="O53" s="10">
        <f t="shared" si="0"/>
      </c>
      <c r="P53" s="4"/>
      <c r="Q53" s="5">
        <f t="shared" si="1"/>
      </c>
      <c r="R53" s="4"/>
      <c r="S53" s="5">
        <f>IF($B53="","",$B53&amp;"-"&amp;COUNTIFS($B$2:$B53,$B53))</f>
      </c>
      <c r="T53" s="5">
        <f t="shared" si="2"/>
        <v>0</v>
      </c>
    </row>
    <row r="54" ht="27.75" customHeight="1" spans="1:20" x14ac:dyDescent="0.25">
      <c r="A54" s="2"/>
      <c r="B54" s="2"/>
      <c r="C54" s="7">
        <f>IF($B54="","",IFERROR(INDEX('Meetings (MOM)'!$B$2:$B$201,MATCH($B54,'Meetings (MOM)'!$A$2:$A$201,0)),""))</f>
      </c>
      <c r="D54" s="5">
        <f>IF($B54="","",IFERROR(INDEX('Meetings (MOM)'!$C$2:$C$201,MATCH($B54,'Meetings (MOM)'!$A$2:$A$201,0)),""))</f>
      </c>
      <c r="E54" s="4"/>
      <c r="F54" s="2"/>
      <c r="G54" s="2"/>
      <c r="H54" s="2"/>
      <c r="I54" s="8"/>
      <c r="J54" s="8"/>
      <c r="K54" s="8"/>
      <c r="L54" s="2"/>
      <c r="M54" s="9"/>
      <c r="N54" s="8"/>
      <c r="O54" s="10">
        <f t="shared" si="0"/>
      </c>
      <c r="P54" s="4"/>
      <c r="Q54" s="5">
        <f t="shared" si="1"/>
      </c>
      <c r="R54" s="4"/>
      <c r="S54" s="5">
        <f>IF($B54="","",$B54&amp;"-"&amp;COUNTIFS($B$2:$B54,$B54))</f>
      </c>
      <c r="T54" s="5">
        <f t="shared" si="2"/>
        <v>0</v>
      </c>
    </row>
    <row r="55" ht="27.75" customHeight="1" spans="1:20" x14ac:dyDescent="0.25">
      <c r="A55" s="2"/>
      <c r="B55" s="2"/>
      <c r="C55" s="7">
        <f>IF($B55="","",IFERROR(INDEX('Meetings (MOM)'!$B$2:$B$201,MATCH($B55,'Meetings (MOM)'!$A$2:$A$201,0)),""))</f>
      </c>
      <c r="D55" s="5">
        <f>IF($B55="","",IFERROR(INDEX('Meetings (MOM)'!$C$2:$C$201,MATCH($B55,'Meetings (MOM)'!$A$2:$A$201,0)),""))</f>
      </c>
      <c r="E55" s="4"/>
      <c r="F55" s="2"/>
      <c r="G55" s="2"/>
      <c r="H55" s="2"/>
      <c r="I55" s="8"/>
      <c r="J55" s="8"/>
      <c r="K55" s="8"/>
      <c r="L55" s="2"/>
      <c r="M55" s="9"/>
      <c r="N55" s="8"/>
      <c r="O55" s="10">
        <f t="shared" si="0"/>
      </c>
      <c r="P55" s="4"/>
      <c r="Q55" s="5">
        <f t="shared" si="1"/>
      </c>
      <c r="R55" s="4"/>
      <c r="S55" s="5">
        <f>IF($B55="","",$B55&amp;"-"&amp;COUNTIFS($B$2:$B55,$B55))</f>
      </c>
      <c r="T55" s="5">
        <f t="shared" si="2"/>
        <v>0</v>
      </c>
    </row>
    <row r="56" ht="27.75" customHeight="1" spans="1:20" x14ac:dyDescent="0.25">
      <c r="A56" s="2"/>
      <c r="B56" s="2"/>
      <c r="C56" s="7">
        <f>IF($B56="","",IFERROR(INDEX('Meetings (MOM)'!$B$2:$B$201,MATCH($B56,'Meetings (MOM)'!$A$2:$A$201,0)),""))</f>
      </c>
      <c r="D56" s="5">
        <f>IF($B56="","",IFERROR(INDEX('Meetings (MOM)'!$C$2:$C$201,MATCH($B56,'Meetings (MOM)'!$A$2:$A$201,0)),""))</f>
      </c>
      <c r="E56" s="4"/>
      <c r="F56" s="2"/>
      <c r="G56" s="2"/>
      <c r="H56" s="2"/>
      <c r="I56" s="8"/>
      <c r="J56" s="8"/>
      <c r="K56" s="8"/>
      <c r="L56" s="2"/>
      <c r="M56" s="9"/>
      <c r="N56" s="8"/>
      <c r="O56" s="10">
        <f t="shared" si="0"/>
      </c>
      <c r="P56" s="4"/>
      <c r="Q56" s="5">
        <f t="shared" si="1"/>
      </c>
      <c r="R56" s="4"/>
      <c r="S56" s="5">
        <f>IF($B56="","",$B56&amp;"-"&amp;COUNTIFS($B$2:$B56,$B56))</f>
      </c>
      <c r="T56" s="5">
        <f t="shared" si="2"/>
        <v>0</v>
      </c>
    </row>
    <row r="57" ht="27.75" customHeight="1" spans="1:20" x14ac:dyDescent="0.25">
      <c r="A57" s="2"/>
      <c r="B57" s="2"/>
      <c r="C57" s="7">
        <f>IF($B57="","",IFERROR(INDEX('Meetings (MOM)'!$B$2:$B$201,MATCH($B57,'Meetings (MOM)'!$A$2:$A$201,0)),""))</f>
      </c>
      <c r="D57" s="5">
        <f>IF($B57="","",IFERROR(INDEX('Meetings (MOM)'!$C$2:$C$201,MATCH($B57,'Meetings (MOM)'!$A$2:$A$201,0)),""))</f>
      </c>
      <c r="E57" s="4"/>
      <c r="F57" s="2"/>
      <c r="G57" s="2"/>
      <c r="H57" s="2"/>
      <c r="I57" s="8"/>
      <c r="J57" s="8"/>
      <c r="K57" s="8"/>
      <c r="L57" s="2"/>
      <c r="M57" s="9"/>
      <c r="N57" s="8"/>
      <c r="O57" s="10">
        <f t="shared" si="0"/>
      </c>
      <c r="P57" s="4"/>
      <c r="Q57" s="5">
        <f t="shared" si="1"/>
      </c>
      <c r="R57" s="4"/>
      <c r="S57" s="5">
        <f>IF($B57="","",$B57&amp;"-"&amp;COUNTIFS($B$2:$B57,$B57))</f>
      </c>
      <c r="T57" s="5">
        <f t="shared" si="2"/>
        <v>0</v>
      </c>
    </row>
    <row r="58" ht="27.75" customHeight="1" spans="1:20" x14ac:dyDescent="0.25">
      <c r="A58" s="2"/>
      <c r="B58" s="2"/>
      <c r="C58" s="7">
        <f>IF($B58="","",IFERROR(INDEX('Meetings (MOM)'!$B$2:$B$201,MATCH($B58,'Meetings (MOM)'!$A$2:$A$201,0)),""))</f>
      </c>
      <c r="D58" s="5">
        <f>IF($B58="","",IFERROR(INDEX('Meetings (MOM)'!$C$2:$C$201,MATCH($B58,'Meetings (MOM)'!$A$2:$A$201,0)),""))</f>
      </c>
      <c r="E58" s="4"/>
      <c r="F58" s="2"/>
      <c r="G58" s="2"/>
      <c r="H58" s="2"/>
      <c r="I58" s="8"/>
      <c r="J58" s="8"/>
      <c r="K58" s="8"/>
      <c r="L58" s="2"/>
      <c r="M58" s="9"/>
      <c r="N58" s="8"/>
      <c r="O58" s="10">
        <f t="shared" si="0"/>
      </c>
      <c r="P58" s="4"/>
      <c r="Q58" s="5">
        <f t="shared" si="1"/>
      </c>
      <c r="R58" s="4"/>
      <c r="S58" s="5">
        <f>IF($B58="","",$B58&amp;"-"&amp;COUNTIFS($B$2:$B58,$B58))</f>
      </c>
      <c r="T58" s="5">
        <f t="shared" si="2"/>
        <v>0</v>
      </c>
    </row>
    <row r="59" ht="27.75" customHeight="1" spans="1:20" x14ac:dyDescent="0.25">
      <c r="A59" s="2"/>
      <c r="B59" s="2"/>
      <c r="C59" s="7">
        <f>IF($B59="","",IFERROR(INDEX('Meetings (MOM)'!$B$2:$B$201,MATCH($B59,'Meetings (MOM)'!$A$2:$A$201,0)),""))</f>
      </c>
      <c r="D59" s="5">
        <f>IF($B59="","",IFERROR(INDEX('Meetings (MOM)'!$C$2:$C$201,MATCH($B59,'Meetings (MOM)'!$A$2:$A$201,0)),""))</f>
      </c>
      <c r="E59" s="4"/>
      <c r="F59" s="2"/>
      <c r="G59" s="2"/>
      <c r="H59" s="2"/>
      <c r="I59" s="8"/>
      <c r="J59" s="8"/>
      <c r="K59" s="8"/>
      <c r="L59" s="2"/>
      <c r="M59" s="9"/>
      <c r="N59" s="8"/>
      <c r="O59" s="10">
        <f t="shared" si="0"/>
      </c>
      <c r="P59" s="4"/>
      <c r="Q59" s="5">
        <f t="shared" si="1"/>
      </c>
      <c r="R59" s="4"/>
      <c r="S59" s="5">
        <f>IF($B59="","",$B59&amp;"-"&amp;COUNTIFS($B$2:$B59,$B59))</f>
      </c>
      <c r="T59" s="5">
        <f t="shared" si="2"/>
        <v>0</v>
      </c>
    </row>
    <row r="60" ht="27.75" customHeight="1" spans="1:20" x14ac:dyDescent="0.25">
      <c r="A60" s="2"/>
      <c r="B60" s="2"/>
      <c r="C60" s="7">
        <f>IF($B60="","",IFERROR(INDEX('Meetings (MOM)'!$B$2:$B$201,MATCH($B60,'Meetings (MOM)'!$A$2:$A$201,0)),""))</f>
      </c>
      <c r="D60" s="5">
        <f>IF($B60="","",IFERROR(INDEX('Meetings (MOM)'!$C$2:$C$201,MATCH($B60,'Meetings (MOM)'!$A$2:$A$201,0)),""))</f>
      </c>
      <c r="E60" s="4"/>
      <c r="F60" s="2"/>
      <c r="G60" s="2"/>
      <c r="H60" s="2"/>
      <c r="I60" s="8"/>
      <c r="J60" s="8"/>
      <c r="K60" s="8"/>
      <c r="L60" s="2"/>
      <c r="M60" s="9"/>
      <c r="N60" s="8"/>
      <c r="O60" s="10">
        <f t="shared" si="0"/>
      </c>
      <c r="P60" s="4"/>
      <c r="Q60" s="5">
        <f t="shared" si="1"/>
      </c>
      <c r="R60" s="4"/>
      <c r="S60" s="5">
        <f>IF($B60="","",$B60&amp;"-"&amp;COUNTIFS($B$2:$B60,$B60))</f>
      </c>
      <c r="T60" s="5">
        <f t="shared" si="2"/>
        <v>0</v>
      </c>
    </row>
    <row r="61" ht="27.75" customHeight="1" spans="1:20" x14ac:dyDescent="0.25">
      <c r="A61" s="2"/>
      <c r="B61" s="2"/>
      <c r="C61" s="7">
        <f>IF($B61="","",IFERROR(INDEX('Meetings (MOM)'!$B$2:$B$201,MATCH($B61,'Meetings (MOM)'!$A$2:$A$201,0)),""))</f>
      </c>
      <c r="D61" s="5">
        <f>IF($B61="","",IFERROR(INDEX('Meetings (MOM)'!$C$2:$C$201,MATCH($B61,'Meetings (MOM)'!$A$2:$A$201,0)),""))</f>
      </c>
      <c r="E61" s="4"/>
      <c r="F61" s="2"/>
      <c r="G61" s="2"/>
      <c r="H61" s="2"/>
      <c r="I61" s="8"/>
      <c r="J61" s="8"/>
      <c r="K61" s="8"/>
      <c r="L61" s="2"/>
      <c r="M61" s="9"/>
      <c r="N61" s="8"/>
      <c r="O61" s="10">
        <f t="shared" si="0"/>
      </c>
      <c r="P61" s="4"/>
      <c r="Q61" s="5">
        <f t="shared" si="1"/>
      </c>
      <c r="R61" s="4"/>
      <c r="S61" s="5">
        <f>IF($B61="","",$B61&amp;"-"&amp;COUNTIFS($B$2:$B61,$B61))</f>
      </c>
      <c r="T61" s="5">
        <f t="shared" si="2"/>
        <v>0</v>
      </c>
    </row>
    <row r="62" ht="27.75" customHeight="1" spans="1:20" x14ac:dyDescent="0.25">
      <c r="A62" s="2"/>
      <c r="B62" s="2"/>
      <c r="C62" s="7">
        <f>IF($B62="","",IFERROR(INDEX('Meetings (MOM)'!$B$2:$B$201,MATCH($B62,'Meetings (MOM)'!$A$2:$A$201,0)),""))</f>
      </c>
      <c r="D62" s="5">
        <f>IF($B62="","",IFERROR(INDEX('Meetings (MOM)'!$C$2:$C$201,MATCH($B62,'Meetings (MOM)'!$A$2:$A$201,0)),""))</f>
      </c>
      <c r="E62" s="4"/>
      <c r="F62" s="2"/>
      <c r="G62" s="2"/>
      <c r="H62" s="2"/>
      <c r="I62" s="8"/>
      <c r="J62" s="8"/>
      <c r="K62" s="8"/>
      <c r="L62" s="2"/>
      <c r="M62" s="9"/>
      <c r="N62" s="8"/>
      <c r="O62" s="10">
        <f t="shared" si="0"/>
      </c>
      <c r="P62" s="4"/>
      <c r="Q62" s="5">
        <f t="shared" si="1"/>
      </c>
      <c r="R62" s="4"/>
      <c r="S62" s="5">
        <f>IF($B62="","",$B62&amp;"-"&amp;COUNTIFS($B$2:$B62,$B62))</f>
      </c>
      <c r="T62" s="5">
        <f t="shared" si="2"/>
        <v>0</v>
      </c>
    </row>
    <row r="63" ht="27.75" customHeight="1" spans="1:20" x14ac:dyDescent="0.25">
      <c r="A63" s="2"/>
      <c r="B63" s="2"/>
      <c r="C63" s="7">
        <f>IF($B63="","",IFERROR(INDEX('Meetings (MOM)'!$B$2:$B$201,MATCH($B63,'Meetings (MOM)'!$A$2:$A$201,0)),""))</f>
      </c>
      <c r="D63" s="5">
        <f>IF($B63="","",IFERROR(INDEX('Meetings (MOM)'!$C$2:$C$201,MATCH($B63,'Meetings (MOM)'!$A$2:$A$201,0)),""))</f>
      </c>
      <c r="E63" s="4"/>
      <c r="F63" s="2"/>
      <c r="G63" s="2"/>
      <c r="H63" s="2"/>
      <c r="I63" s="8"/>
      <c r="J63" s="8"/>
      <c r="K63" s="8"/>
      <c r="L63" s="2"/>
      <c r="M63" s="9"/>
      <c r="N63" s="8"/>
      <c r="O63" s="10">
        <f t="shared" si="0"/>
      </c>
      <c r="P63" s="4"/>
      <c r="Q63" s="5">
        <f t="shared" si="1"/>
      </c>
      <c r="R63" s="4"/>
      <c r="S63" s="5">
        <f>IF($B63="","",$B63&amp;"-"&amp;COUNTIFS($B$2:$B63,$B63))</f>
      </c>
      <c r="T63" s="5">
        <f t="shared" si="2"/>
        <v>0</v>
      </c>
    </row>
    <row r="64" ht="27.75" customHeight="1" spans="1:20" x14ac:dyDescent="0.25">
      <c r="A64" s="2"/>
      <c r="B64" s="2"/>
      <c r="C64" s="7">
        <f>IF($B64="","",IFERROR(INDEX('Meetings (MOM)'!$B$2:$B$201,MATCH($B64,'Meetings (MOM)'!$A$2:$A$201,0)),""))</f>
      </c>
      <c r="D64" s="5">
        <f>IF($B64="","",IFERROR(INDEX('Meetings (MOM)'!$C$2:$C$201,MATCH($B64,'Meetings (MOM)'!$A$2:$A$201,0)),""))</f>
      </c>
      <c r="E64" s="4"/>
      <c r="F64" s="2"/>
      <c r="G64" s="2"/>
      <c r="H64" s="2"/>
      <c r="I64" s="8"/>
      <c r="J64" s="8"/>
      <c r="K64" s="8"/>
      <c r="L64" s="2"/>
      <c r="M64" s="9"/>
      <c r="N64" s="8"/>
      <c r="O64" s="10">
        <f t="shared" si="0"/>
      </c>
      <c r="P64" s="4"/>
      <c r="Q64" s="5">
        <f t="shared" si="1"/>
      </c>
      <c r="R64" s="4"/>
      <c r="S64" s="5">
        <f>IF($B64="","",$B64&amp;"-"&amp;COUNTIFS($B$2:$B64,$B64))</f>
      </c>
      <c r="T64" s="5">
        <f t="shared" si="2"/>
        <v>0</v>
      </c>
    </row>
    <row r="65" ht="27.75" customHeight="1" spans="1:20" x14ac:dyDescent="0.25">
      <c r="A65" s="2"/>
      <c r="B65" s="2"/>
      <c r="C65" s="7">
        <f>IF($B65="","",IFERROR(INDEX('Meetings (MOM)'!$B$2:$B$201,MATCH($B65,'Meetings (MOM)'!$A$2:$A$201,0)),""))</f>
      </c>
      <c r="D65" s="5">
        <f>IF($B65="","",IFERROR(INDEX('Meetings (MOM)'!$C$2:$C$201,MATCH($B65,'Meetings (MOM)'!$A$2:$A$201,0)),""))</f>
      </c>
      <c r="E65" s="4"/>
      <c r="F65" s="2"/>
      <c r="G65" s="2"/>
      <c r="H65" s="2"/>
      <c r="I65" s="8"/>
      <c r="J65" s="8"/>
      <c r="K65" s="8"/>
      <c r="L65" s="2"/>
      <c r="M65" s="9"/>
      <c r="N65" s="8"/>
      <c r="O65" s="10">
        <f t="shared" si="0"/>
      </c>
      <c r="P65" s="4"/>
      <c r="Q65" s="5">
        <f t="shared" si="1"/>
      </c>
      <c r="R65" s="4"/>
      <c r="S65" s="5">
        <f>IF($B65="","",$B65&amp;"-"&amp;COUNTIFS($B$2:$B65,$B65))</f>
      </c>
      <c r="T65" s="5">
        <f t="shared" si="2"/>
        <v>0</v>
      </c>
    </row>
    <row r="66" ht="27.75" customHeight="1" spans="1:20" x14ac:dyDescent="0.25">
      <c r="A66" s="2"/>
      <c r="B66" s="2"/>
      <c r="C66" s="7">
        <f>IF($B66="","",IFERROR(INDEX('Meetings (MOM)'!$B$2:$B$201,MATCH($B66,'Meetings (MOM)'!$A$2:$A$201,0)),""))</f>
      </c>
      <c r="D66" s="5">
        <f>IF($B66="","",IFERROR(INDEX('Meetings (MOM)'!$C$2:$C$201,MATCH($B66,'Meetings (MOM)'!$A$2:$A$201,0)),""))</f>
      </c>
      <c r="E66" s="4"/>
      <c r="F66" s="2"/>
      <c r="G66" s="2"/>
      <c r="H66" s="2"/>
      <c r="I66" s="8"/>
      <c r="J66" s="8"/>
      <c r="K66" s="8"/>
      <c r="L66" s="2"/>
      <c r="M66" s="9"/>
      <c r="N66" s="8"/>
      <c r="O66" s="10">
        <f t="shared" ref="O66:O129" si="3">IF(OR($A66="",IF($K66="",$J66,$K66)=""),"",IF($L66="Completed",IF($N66="","",$N66-IF($K66="",$J66,$K66)),IF($L66="Cancelled","",TODAY()-IF($K66="",$J66,$K66))))</f>
      </c>
      <c r="P66" s="4"/>
      <c r="Q66" s="5">
        <f t="shared" ref="Q66:Q129" si="4">IF($A66="","",IF(OR($L66="Completed",$L66="Cancelled"),"Closed",IF(IF($K66="",$J66,$K66)="","Set deadline",IF(TODAY()&gt;IF($K66="",$J66,$K66),"OVERDUE - Escalate",IF(IF($K66="",$J66,$K66)-TODAY()&lt;=3,"Send Reminder","On Track")))))</f>
      </c>
      <c r="R66" s="4"/>
      <c r="S66" s="5">
        <f>IF($B66="","",$B66&amp;"-"&amp;COUNTIFS($B$2:$B66,$B66))</f>
      </c>
      <c r="T66" s="5">
        <f t="shared" ref="T66:T129" si="5">IF($A66="",0,IF(OR($L66="Completed",$L66="Cancelled"),0,IF(IF($K66="",$J66,$K66)="",0,IF(TODAY()&gt;IF($K66="",$J66,$K66),1,0))))</f>
        <v>0</v>
      </c>
    </row>
    <row r="67" ht="27.75" customHeight="1" spans="1:20" x14ac:dyDescent="0.25">
      <c r="A67" s="2"/>
      <c r="B67" s="2"/>
      <c r="C67" s="7">
        <f>IF($B67="","",IFERROR(INDEX('Meetings (MOM)'!$B$2:$B$201,MATCH($B67,'Meetings (MOM)'!$A$2:$A$201,0)),""))</f>
      </c>
      <c r="D67" s="5">
        <f>IF($B67="","",IFERROR(INDEX('Meetings (MOM)'!$C$2:$C$201,MATCH($B67,'Meetings (MOM)'!$A$2:$A$201,0)),""))</f>
      </c>
      <c r="E67" s="4"/>
      <c r="F67" s="2"/>
      <c r="G67" s="2"/>
      <c r="H67" s="2"/>
      <c r="I67" s="8"/>
      <c r="J67" s="8"/>
      <c r="K67" s="8"/>
      <c r="L67" s="2"/>
      <c r="M67" s="9"/>
      <c r="N67" s="8"/>
      <c r="O67" s="10">
        <f t="shared" si="3"/>
      </c>
      <c r="P67" s="4"/>
      <c r="Q67" s="5">
        <f t="shared" si="4"/>
      </c>
      <c r="R67" s="4"/>
      <c r="S67" s="5">
        <f>IF($B67="","",$B67&amp;"-"&amp;COUNTIFS($B$2:$B67,$B67))</f>
      </c>
      <c r="T67" s="5">
        <f t="shared" si="5"/>
        <v>0</v>
      </c>
    </row>
    <row r="68" ht="27.75" customHeight="1" spans="1:20" x14ac:dyDescent="0.25">
      <c r="A68" s="2"/>
      <c r="B68" s="2"/>
      <c r="C68" s="7">
        <f>IF($B68="","",IFERROR(INDEX('Meetings (MOM)'!$B$2:$B$201,MATCH($B68,'Meetings (MOM)'!$A$2:$A$201,0)),""))</f>
      </c>
      <c r="D68" s="5">
        <f>IF($B68="","",IFERROR(INDEX('Meetings (MOM)'!$C$2:$C$201,MATCH($B68,'Meetings (MOM)'!$A$2:$A$201,0)),""))</f>
      </c>
      <c r="E68" s="4"/>
      <c r="F68" s="2"/>
      <c r="G68" s="2"/>
      <c r="H68" s="2"/>
      <c r="I68" s="8"/>
      <c r="J68" s="8"/>
      <c r="K68" s="8"/>
      <c r="L68" s="2"/>
      <c r="M68" s="9"/>
      <c r="N68" s="8"/>
      <c r="O68" s="10">
        <f t="shared" si="3"/>
      </c>
      <c r="P68" s="4"/>
      <c r="Q68" s="5">
        <f t="shared" si="4"/>
      </c>
      <c r="R68" s="4"/>
      <c r="S68" s="5">
        <f>IF($B68="","",$B68&amp;"-"&amp;COUNTIFS($B$2:$B68,$B68))</f>
      </c>
      <c r="T68" s="5">
        <f t="shared" si="5"/>
        <v>0</v>
      </c>
    </row>
    <row r="69" ht="27.75" customHeight="1" spans="1:20" x14ac:dyDescent="0.25">
      <c r="A69" s="2"/>
      <c r="B69" s="2"/>
      <c r="C69" s="7">
        <f>IF($B69="","",IFERROR(INDEX('Meetings (MOM)'!$B$2:$B$201,MATCH($B69,'Meetings (MOM)'!$A$2:$A$201,0)),""))</f>
      </c>
      <c r="D69" s="5">
        <f>IF($B69="","",IFERROR(INDEX('Meetings (MOM)'!$C$2:$C$201,MATCH($B69,'Meetings (MOM)'!$A$2:$A$201,0)),""))</f>
      </c>
      <c r="E69" s="4"/>
      <c r="F69" s="2"/>
      <c r="G69" s="2"/>
      <c r="H69" s="2"/>
      <c r="I69" s="8"/>
      <c r="J69" s="8"/>
      <c r="K69" s="8"/>
      <c r="L69" s="2"/>
      <c r="M69" s="9"/>
      <c r="N69" s="8"/>
      <c r="O69" s="10">
        <f t="shared" si="3"/>
      </c>
      <c r="P69" s="4"/>
      <c r="Q69" s="5">
        <f t="shared" si="4"/>
      </c>
      <c r="R69" s="4"/>
      <c r="S69" s="5">
        <f>IF($B69="","",$B69&amp;"-"&amp;COUNTIFS($B$2:$B69,$B69))</f>
      </c>
      <c r="T69" s="5">
        <f t="shared" si="5"/>
        <v>0</v>
      </c>
    </row>
    <row r="70" ht="27.75" customHeight="1" spans="1:20" x14ac:dyDescent="0.25">
      <c r="A70" s="2"/>
      <c r="B70" s="2"/>
      <c r="C70" s="7">
        <f>IF($B70="","",IFERROR(INDEX('Meetings (MOM)'!$B$2:$B$201,MATCH($B70,'Meetings (MOM)'!$A$2:$A$201,0)),""))</f>
      </c>
      <c r="D70" s="5">
        <f>IF($B70="","",IFERROR(INDEX('Meetings (MOM)'!$C$2:$C$201,MATCH($B70,'Meetings (MOM)'!$A$2:$A$201,0)),""))</f>
      </c>
      <c r="E70" s="4"/>
      <c r="F70" s="2"/>
      <c r="G70" s="2"/>
      <c r="H70" s="2"/>
      <c r="I70" s="8"/>
      <c r="J70" s="8"/>
      <c r="K70" s="8"/>
      <c r="L70" s="2"/>
      <c r="M70" s="9"/>
      <c r="N70" s="8"/>
      <c r="O70" s="10">
        <f t="shared" si="3"/>
      </c>
      <c r="P70" s="4"/>
      <c r="Q70" s="5">
        <f t="shared" si="4"/>
      </c>
      <c r="R70" s="4"/>
      <c r="S70" s="5">
        <f>IF($B70="","",$B70&amp;"-"&amp;COUNTIFS($B$2:$B70,$B70))</f>
      </c>
      <c r="T70" s="5">
        <f t="shared" si="5"/>
        <v>0</v>
      </c>
    </row>
    <row r="71" ht="27.75" customHeight="1" spans="1:20" x14ac:dyDescent="0.25">
      <c r="A71" s="2"/>
      <c r="B71" s="2"/>
      <c r="C71" s="7">
        <f>IF($B71="","",IFERROR(INDEX('Meetings (MOM)'!$B$2:$B$201,MATCH($B71,'Meetings (MOM)'!$A$2:$A$201,0)),""))</f>
      </c>
      <c r="D71" s="5">
        <f>IF($B71="","",IFERROR(INDEX('Meetings (MOM)'!$C$2:$C$201,MATCH($B71,'Meetings (MOM)'!$A$2:$A$201,0)),""))</f>
      </c>
      <c r="E71" s="4"/>
      <c r="F71" s="2"/>
      <c r="G71" s="2"/>
      <c r="H71" s="2"/>
      <c r="I71" s="8"/>
      <c r="J71" s="8"/>
      <c r="K71" s="8"/>
      <c r="L71" s="2"/>
      <c r="M71" s="9"/>
      <c r="N71" s="8"/>
      <c r="O71" s="10">
        <f t="shared" si="3"/>
      </c>
      <c r="P71" s="4"/>
      <c r="Q71" s="5">
        <f t="shared" si="4"/>
      </c>
      <c r="R71" s="4"/>
      <c r="S71" s="5">
        <f>IF($B71="","",$B71&amp;"-"&amp;COUNTIFS($B$2:$B71,$B71))</f>
      </c>
      <c r="T71" s="5">
        <f t="shared" si="5"/>
        <v>0</v>
      </c>
    </row>
    <row r="72" ht="27.75" customHeight="1" spans="1:20" x14ac:dyDescent="0.25">
      <c r="A72" s="2"/>
      <c r="B72" s="2"/>
      <c r="C72" s="7">
        <f>IF($B72="","",IFERROR(INDEX('Meetings (MOM)'!$B$2:$B$201,MATCH($B72,'Meetings (MOM)'!$A$2:$A$201,0)),""))</f>
      </c>
      <c r="D72" s="5">
        <f>IF($B72="","",IFERROR(INDEX('Meetings (MOM)'!$C$2:$C$201,MATCH($B72,'Meetings (MOM)'!$A$2:$A$201,0)),""))</f>
      </c>
      <c r="E72" s="4"/>
      <c r="F72" s="2"/>
      <c r="G72" s="2"/>
      <c r="H72" s="2"/>
      <c r="I72" s="8"/>
      <c r="J72" s="8"/>
      <c r="K72" s="8"/>
      <c r="L72" s="2"/>
      <c r="M72" s="9"/>
      <c r="N72" s="8"/>
      <c r="O72" s="10">
        <f t="shared" si="3"/>
      </c>
      <c r="P72" s="4"/>
      <c r="Q72" s="5">
        <f t="shared" si="4"/>
      </c>
      <c r="R72" s="4"/>
      <c r="S72" s="5">
        <f>IF($B72="","",$B72&amp;"-"&amp;COUNTIFS($B$2:$B72,$B72))</f>
      </c>
      <c r="T72" s="5">
        <f t="shared" si="5"/>
        <v>0</v>
      </c>
    </row>
    <row r="73" ht="27.75" customHeight="1" spans="1:20" x14ac:dyDescent="0.25">
      <c r="A73" s="2"/>
      <c r="B73" s="2"/>
      <c r="C73" s="7">
        <f>IF($B73="","",IFERROR(INDEX('Meetings (MOM)'!$B$2:$B$201,MATCH($B73,'Meetings (MOM)'!$A$2:$A$201,0)),""))</f>
      </c>
      <c r="D73" s="5">
        <f>IF($B73="","",IFERROR(INDEX('Meetings (MOM)'!$C$2:$C$201,MATCH($B73,'Meetings (MOM)'!$A$2:$A$201,0)),""))</f>
      </c>
      <c r="E73" s="4"/>
      <c r="F73" s="2"/>
      <c r="G73" s="2"/>
      <c r="H73" s="2"/>
      <c r="I73" s="8"/>
      <c r="J73" s="8"/>
      <c r="K73" s="8"/>
      <c r="L73" s="2"/>
      <c r="M73" s="9"/>
      <c r="N73" s="8"/>
      <c r="O73" s="10">
        <f t="shared" si="3"/>
      </c>
      <c r="P73" s="4"/>
      <c r="Q73" s="5">
        <f t="shared" si="4"/>
      </c>
      <c r="R73" s="4"/>
      <c r="S73" s="5">
        <f>IF($B73="","",$B73&amp;"-"&amp;COUNTIFS($B$2:$B73,$B73))</f>
      </c>
      <c r="T73" s="5">
        <f t="shared" si="5"/>
        <v>0</v>
      </c>
    </row>
    <row r="74" ht="27.75" customHeight="1" spans="1:20" x14ac:dyDescent="0.25">
      <c r="A74" s="2"/>
      <c r="B74" s="2"/>
      <c r="C74" s="7">
        <f>IF($B74="","",IFERROR(INDEX('Meetings (MOM)'!$B$2:$B$201,MATCH($B74,'Meetings (MOM)'!$A$2:$A$201,0)),""))</f>
      </c>
      <c r="D74" s="5">
        <f>IF($B74="","",IFERROR(INDEX('Meetings (MOM)'!$C$2:$C$201,MATCH($B74,'Meetings (MOM)'!$A$2:$A$201,0)),""))</f>
      </c>
      <c r="E74" s="4"/>
      <c r="F74" s="2"/>
      <c r="G74" s="2"/>
      <c r="H74" s="2"/>
      <c r="I74" s="8"/>
      <c r="J74" s="8"/>
      <c r="K74" s="8"/>
      <c r="L74" s="2"/>
      <c r="M74" s="9"/>
      <c r="N74" s="8"/>
      <c r="O74" s="10">
        <f t="shared" si="3"/>
      </c>
      <c r="P74" s="4"/>
      <c r="Q74" s="5">
        <f t="shared" si="4"/>
      </c>
      <c r="R74" s="4"/>
      <c r="S74" s="5">
        <f>IF($B74="","",$B74&amp;"-"&amp;COUNTIFS($B$2:$B74,$B74))</f>
      </c>
      <c r="T74" s="5">
        <f t="shared" si="5"/>
        <v>0</v>
      </c>
    </row>
    <row r="75" ht="27.75" customHeight="1" spans="1:20" x14ac:dyDescent="0.25">
      <c r="A75" s="2"/>
      <c r="B75" s="2"/>
      <c r="C75" s="7">
        <f>IF($B75="","",IFERROR(INDEX('Meetings (MOM)'!$B$2:$B$201,MATCH($B75,'Meetings (MOM)'!$A$2:$A$201,0)),""))</f>
      </c>
      <c r="D75" s="5">
        <f>IF($B75="","",IFERROR(INDEX('Meetings (MOM)'!$C$2:$C$201,MATCH($B75,'Meetings (MOM)'!$A$2:$A$201,0)),""))</f>
      </c>
      <c r="E75" s="4"/>
      <c r="F75" s="2"/>
      <c r="G75" s="2"/>
      <c r="H75" s="2"/>
      <c r="I75" s="8"/>
      <c r="J75" s="8"/>
      <c r="K75" s="8"/>
      <c r="L75" s="2"/>
      <c r="M75" s="9"/>
      <c r="N75" s="8"/>
      <c r="O75" s="10">
        <f t="shared" si="3"/>
      </c>
      <c r="P75" s="4"/>
      <c r="Q75" s="5">
        <f t="shared" si="4"/>
      </c>
      <c r="R75" s="4"/>
      <c r="S75" s="5">
        <f>IF($B75="","",$B75&amp;"-"&amp;COUNTIFS($B$2:$B75,$B75))</f>
      </c>
      <c r="T75" s="5">
        <f t="shared" si="5"/>
        <v>0</v>
      </c>
    </row>
    <row r="76" ht="27.75" customHeight="1" spans="1:20" x14ac:dyDescent="0.25">
      <c r="A76" s="2"/>
      <c r="B76" s="2"/>
      <c r="C76" s="7">
        <f>IF($B76="","",IFERROR(INDEX('Meetings (MOM)'!$B$2:$B$201,MATCH($B76,'Meetings (MOM)'!$A$2:$A$201,0)),""))</f>
      </c>
      <c r="D76" s="5">
        <f>IF($B76="","",IFERROR(INDEX('Meetings (MOM)'!$C$2:$C$201,MATCH($B76,'Meetings (MOM)'!$A$2:$A$201,0)),""))</f>
      </c>
      <c r="E76" s="4"/>
      <c r="F76" s="2"/>
      <c r="G76" s="2"/>
      <c r="H76" s="2"/>
      <c r="I76" s="8"/>
      <c r="J76" s="8"/>
      <c r="K76" s="8"/>
      <c r="L76" s="2"/>
      <c r="M76" s="9"/>
      <c r="N76" s="8"/>
      <c r="O76" s="10">
        <f t="shared" si="3"/>
      </c>
      <c r="P76" s="4"/>
      <c r="Q76" s="5">
        <f t="shared" si="4"/>
      </c>
      <c r="R76" s="4"/>
      <c r="S76" s="5">
        <f>IF($B76="","",$B76&amp;"-"&amp;COUNTIFS($B$2:$B76,$B76))</f>
      </c>
      <c r="T76" s="5">
        <f t="shared" si="5"/>
        <v>0</v>
      </c>
    </row>
    <row r="77" ht="27.75" customHeight="1" spans="1:20" x14ac:dyDescent="0.25">
      <c r="A77" s="2"/>
      <c r="B77" s="2"/>
      <c r="C77" s="7">
        <f>IF($B77="","",IFERROR(INDEX('Meetings (MOM)'!$B$2:$B$201,MATCH($B77,'Meetings (MOM)'!$A$2:$A$201,0)),""))</f>
      </c>
      <c r="D77" s="5">
        <f>IF($B77="","",IFERROR(INDEX('Meetings (MOM)'!$C$2:$C$201,MATCH($B77,'Meetings (MOM)'!$A$2:$A$201,0)),""))</f>
      </c>
      <c r="E77" s="4"/>
      <c r="F77" s="2"/>
      <c r="G77" s="2"/>
      <c r="H77" s="2"/>
      <c r="I77" s="8"/>
      <c r="J77" s="8"/>
      <c r="K77" s="8"/>
      <c r="L77" s="2"/>
      <c r="M77" s="9"/>
      <c r="N77" s="8"/>
      <c r="O77" s="10">
        <f t="shared" si="3"/>
      </c>
      <c r="P77" s="4"/>
      <c r="Q77" s="5">
        <f t="shared" si="4"/>
      </c>
      <c r="R77" s="4"/>
      <c r="S77" s="5">
        <f>IF($B77="","",$B77&amp;"-"&amp;COUNTIFS($B$2:$B77,$B77))</f>
      </c>
      <c r="T77" s="5">
        <f t="shared" si="5"/>
        <v>0</v>
      </c>
    </row>
    <row r="78" ht="27.75" customHeight="1" spans="1:20" x14ac:dyDescent="0.25">
      <c r="A78" s="2"/>
      <c r="B78" s="2"/>
      <c r="C78" s="7">
        <f>IF($B78="","",IFERROR(INDEX('Meetings (MOM)'!$B$2:$B$201,MATCH($B78,'Meetings (MOM)'!$A$2:$A$201,0)),""))</f>
      </c>
      <c r="D78" s="5">
        <f>IF($B78="","",IFERROR(INDEX('Meetings (MOM)'!$C$2:$C$201,MATCH($B78,'Meetings (MOM)'!$A$2:$A$201,0)),""))</f>
      </c>
      <c r="E78" s="4"/>
      <c r="F78" s="2"/>
      <c r="G78" s="2"/>
      <c r="H78" s="2"/>
      <c r="I78" s="8"/>
      <c r="J78" s="8"/>
      <c r="K78" s="8"/>
      <c r="L78" s="2"/>
      <c r="M78" s="9"/>
      <c r="N78" s="8"/>
      <c r="O78" s="10">
        <f t="shared" si="3"/>
      </c>
      <c r="P78" s="4"/>
      <c r="Q78" s="5">
        <f t="shared" si="4"/>
      </c>
      <c r="R78" s="4"/>
      <c r="S78" s="5">
        <f>IF($B78="","",$B78&amp;"-"&amp;COUNTIFS($B$2:$B78,$B78))</f>
      </c>
      <c r="T78" s="5">
        <f t="shared" si="5"/>
        <v>0</v>
      </c>
    </row>
    <row r="79" ht="27.75" customHeight="1" spans="1:20" x14ac:dyDescent="0.25">
      <c r="A79" s="2"/>
      <c r="B79" s="2"/>
      <c r="C79" s="7">
        <f>IF($B79="","",IFERROR(INDEX('Meetings (MOM)'!$B$2:$B$201,MATCH($B79,'Meetings (MOM)'!$A$2:$A$201,0)),""))</f>
      </c>
      <c r="D79" s="5">
        <f>IF($B79="","",IFERROR(INDEX('Meetings (MOM)'!$C$2:$C$201,MATCH($B79,'Meetings (MOM)'!$A$2:$A$201,0)),""))</f>
      </c>
      <c r="E79" s="4"/>
      <c r="F79" s="2"/>
      <c r="G79" s="2"/>
      <c r="H79" s="2"/>
      <c r="I79" s="8"/>
      <c r="J79" s="8"/>
      <c r="K79" s="8"/>
      <c r="L79" s="2"/>
      <c r="M79" s="9"/>
      <c r="N79" s="8"/>
      <c r="O79" s="10">
        <f t="shared" si="3"/>
      </c>
      <c r="P79" s="4"/>
      <c r="Q79" s="5">
        <f t="shared" si="4"/>
      </c>
      <c r="R79" s="4"/>
      <c r="S79" s="5">
        <f>IF($B79="","",$B79&amp;"-"&amp;COUNTIFS($B$2:$B79,$B79))</f>
      </c>
      <c r="T79" s="5">
        <f t="shared" si="5"/>
        <v>0</v>
      </c>
    </row>
    <row r="80" ht="27.75" customHeight="1" spans="1:20" x14ac:dyDescent="0.25">
      <c r="A80" s="2"/>
      <c r="B80" s="2"/>
      <c r="C80" s="7">
        <f>IF($B80="","",IFERROR(INDEX('Meetings (MOM)'!$B$2:$B$201,MATCH($B80,'Meetings (MOM)'!$A$2:$A$201,0)),""))</f>
      </c>
      <c r="D80" s="5">
        <f>IF($B80="","",IFERROR(INDEX('Meetings (MOM)'!$C$2:$C$201,MATCH($B80,'Meetings (MOM)'!$A$2:$A$201,0)),""))</f>
      </c>
      <c r="E80" s="4"/>
      <c r="F80" s="2"/>
      <c r="G80" s="2"/>
      <c r="H80" s="2"/>
      <c r="I80" s="8"/>
      <c r="J80" s="8"/>
      <c r="K80" s="8"/>
      <c r="L80" s="2"/>
      <c r="M80" s="9"/>
      <c r="N80" s="8"/>
      <c r="O80" s="10">
        <f t="shared" si="3"/>
      </c>
      <c r="P80" s="4"/>
      <c r="Q80" s="5">
        <f t="shared" si="4"/>
      </c>
      <c r="R80" s="4"/>
      <c r="S80" s="5">
        <f>IF($B80="","",$B80&amp;"-"&amp;COUNTIFS($B$2:$B80,$B80))</f>
      </c>
      <c r="T80" s="5">
        <f t="shared" si="5"/>
        <v>0</v>
      </c>
    </row>
    <row r="81" ht="27.75" customHeight="1" spans="1:20" x14ac:dyDescent="0.25">
      <c r="A81" s="2"/>
      <c r="B81" s="2"/>
      <c r="C81" s="7">
        <f>IF($B81="","",IFERROR(INDEX('Meetings (MOM)'!$B$2:$B$201,MATCH($B81,'Meetings (MOM)'!$A$2:$A$201,0)),""))</f>
      </c>
      <c r="D81" s="5">
        <f>IF($B81="","",IFERROR(INDEX('Meetings (MOM)'!$C$2:$C$201,MATCH($B81,'Meetings (MOM)'!$A$2:$A$201,0)),""))</f>
      </c>
      <c r="E81" s="4"/>
      <c r="F81" s="2"/>
      <c r="G81" s="2"/>
      <c r="H81" s="2"/>
      <c r="I81" s="8"/>
      <c r="J81" s="8"/>
      <c r="K81" s="8"/>
      <c r="L81" s="2"/>
      <c r="M81" s="9"/>
      <c r="N81" s="8"/>
      <c r="O81" s="10">
        <f t="shared" si="3"/>
      </c>
      <c r="P81" s="4"/>
      <c r="Q81" s="5">
        <f t="shared" si="4"/>
      </c>
      <c r="R81" s="4"/>
      <c r="S81" s="5">
        <f>IF($B81="","",$B81&amp;"-"&amp;COUNTIFS($B$2:$B81,$B81))</f>
      </c>
      <c r="T81" s="5">
        <f t="shared" si="5"/>
        <v>0</v>
      </c>
    </row>
    <row r="82" ht="27.75" customHeight="1" spans="1:20" x14ac:dyDescent="0.25">
      <c r="A82" s="2"/>
      <c r="B82" s="2"/>
      <c r="C82" s="7">
        <f>IF($B82="","",IFERROR(INDEX('Meetings (MOM)'!$B$2:$B$201,MATCH($B82,'Meetings (MOM)'!$A$2:$A$201,0)),""))</f>
      </c>
      <c r="D82" s="5">
        <f>IF($B82="","",IFERROR(INDEX('Meetings (MOM)'!$C$2:$C$201,MATCH($B82,'Meetings (MOM)'!$A$2:$A$201,0)),""))</f>
      </c>
      <c r="E82" s="4"/>
      <c r="F82" s="2"/>
      <c r="G82" s="2"/>
      <c r="H82" s="2"/>
      <c r="I82" s="8"/>
      <c r="J82" s="8"/>
      <c r="K82" s="8"/>
      <c r="L82" s="2"/>
      <c r="M82" s="9"/>
      <c r="N82" s="8"/>
      <c r="O82" s="10">
        <f t="shared" si="3"/>
      </c>
      <c r="P82" s="4"/>
      <c r="Q82" s="5">
        <f t="shared" si="4"/>
      </c>
      <c r="R82" s="4"/>
      <c r="S82" s="5">
        <f>IF($B82="","",$B82&amp;"-"&amp;COUNTIFS($B$2:$B82,$B82))</f>
      </c>
      <c r="T82" s="5">
        <f t="shared" si="5"/>
        <v>0</v>
      </c>
    </row>
    <row r="83" ht="27.75" customHeight="1" spans="1:20" x14ac:dyDescent="0.25">
      <c r="A83" s="2"/>
      <c r="B83" s="2"/>
      <c r="C83" s="7">
        <f>IF($B83="","",IFERROR(INDEX('Meetings (MOM)'!$B$2:$B$201,MATCH($B83,'Meetings (MOM)'!$A$2:$A$201,0)),""))</f>
      </c>
      <c r="D83" s="5">
        <f>IF($B83="","",IFERROR(INDEX('Meetings (MOM)'!$C$2:$C$201,MATCH($B83,'Meetings (MOM)'!$A$2:$A$201,0)),""))</f>
      </c>
      <c r="E83" s="4"/>
      <c r="F83" s="2"/>
      <c r="G83" s="2"/>
      <c r="H83" s="2"/>
      <c r="I83" s="8"/>
      <c r="J83" s="8"/>
      <c r="K83" s="8"/>
      <c r="L83" s="2"/>
      <c r="M83" s="9"/>
      <c r="N83" s="8"/>
      <c r="O83" s="10">
        <f t="shared" si="3"/>
      </c>
      <c r="P83" s="4"/>
      <c r="Q83" s="5">
        <f t="shared" si="4"/>
      </c>
      <c r="R83" s="4"/>
      <c r="S83" s="5">
        <f>IF($B83="","",$B83&amp;"-"&amp;COUNTIFS($B$2:$B83,$B83))</f>
      </c>
      <c r="T83" s="5">
        <f t="shared" si="5"/>
        <v>0</v>
      </c>
    </row>
    <row r="84" ht="27.75" customHeight="1" spans="1:20" x14ac:dyDescent="0.25">
      <c r="A84" s="2"/>
      <c r="B84" s="2"/>
      <c r="C84" s="7">
        <f>IF($B84="","",IFERROR(INDEX('Meetings (MOM)'!$B$2:$B$201,MATCH($B84,'Meetings (MOM)'!$A$2:$A$201,0)),""))</f>
      </c>
      <c r="D84" s="5">
        <f>IF($B84="","",IFERROR(INDEX('Meetings (MOM)'!$C$2:$C$201,MATCH($B84,'Meetings (MOM)'!$A$2:$A$201,0)),""))</f>
      </c>
      <c r="E84" s="4"/>
      <c r="F84" s="2"/>
      <c r="G84" s="2"/>
      <c r="H84" s="2"/>
      <c r="I84" s="8"/>
      <c r="J84" s="8"/>
      <c r="K84" s="8"/>
      <c r="L84" s="2"/>
      <c r="M84" s="9"/>
      <c r="N84" s="8"/>
      <c r="O84" s="10">
        <f t="shared" si="3"/>
      </c>
      <c r="P84" s="4"/>
      <c r="Q84" s="5">
        <f t="shared" si="4"/>
      </c>
      <c r="R84" s="4"/>
      <c r="S84" s="5">
        <f>IF($B84="","",$B84&amp;"-"&amp;COUNTIFS($B$2:$B84,$B84))</f>
      </c>
      <c r="T84" s="5">
        <f t="shared" si="5"/>
        <v>0</v>
      </c>
    </row>
    <row r="85" ht="27.75" customHeight="1" spans="1:20" x14ac:dyDescent="0.25">
      <c r="A85" s="2"/>
      <c r="B85" s="2"/>
      <c r="C85" s="7">
        <f>IF($B85="","",IFERROR(INDEX('Meetings (MOM)'!$B$2:$B$201,MATCH($B85,'Meetings (MOM)'!$A$2:$A$201,0)),""))</f>
      </c>
      <c r="D85" s="5">
        <f>IF($B85="","",IFERROR(INDEX('Meetings (MOM)'!$C$2:$C$201,MATCH($B85,'Meetings (MOM)'!$A$2:$A$201,0)),""))</f>
      </c>
      <c r="E85" s="4"/>
      <c r="F85" s="2"/>
      <c r="G85" s="2"/>
      <c r="H85" s="2"/>
      <c r="I85" s="8"/>
      <c r="J85" s="8"/>
      <c r="K85" s="8"/>
      <c r="L85" s="2"/>
      <c r="M85" s="9"/>
      <c r="N85" s="8"/>
      <c r="O85" s="10">
        <f t="shared" si="3"/>
      </c>
      <c r="P85" s="4"/>
      <c r="Q85" s="5">
        <f t="shared" si="4"/>
      </c>
      <c r="R85" s="4"/>
      <c r="S85" s="5">
        <f>IF($B85="","",$B85&amp;"-"&amp;COUNTIFS($B$2:$B85,$B85))</f>
      </c>
      <c r="T85" s="5">
        <f t="shared" si="5"/>
        <v>0</v>
      </c>
    </row>
    <row r="86" ht="27.75" customHeight="1" spans="1:20" x14ac:dyDescent="0.25">
      <c r="A86" s="2"/>
      <c r="B86" s="2"/>
      <c r="C86" s="7">
        <f>IF($B86="","",IFERROR(INDEX('Meetings (MOM)'!$B$2:$B$201,MATCH($B86,'Meetings (MOM)'!$A$2:$A$201,0)),""))</f>
      </c>
      <c r="D86" s="5">
        <f>IF($B86="","",IFERROR(INDEX('Meetings (MOM)'!$C$2:$C$201,MATCH($B86,'Meetings (MOM)'!$A$2:$A$201,0)),""))</f>
      </c>
      <c r="E86" s="4"/>
      <c r="F86" s="2"/>
      <c r="G86" s="2"/>
      <c r="H86" s="2"/>
      <c r="I86" s="8"/>
      <c r="J86" s="8"/>
      <c r="K86" s="8"/>
      <c r="L86" s="2"/>
      <c r="M86" s="9"/>
      <c r="N86" s="8"/>
      <c r="O86" s="10">
        <f t="shared" si="3"/>
      </c>
      <c r="P86" s="4"/>
      <c r="Q86" s="5">
        <f t="shared" si="4"/>
      </c>
      <c r="R86" s="4"/>
      <c r="S86" s="5">
        <f>IF($B86="","",$B86&amp;"-"&amp;COUNTIFS($B$2:$B86,$B86))</f>
      </c>
      <c r="T86" s="5">
        <f t="shared" si="5"/>
        <v>0</v>
      </c>
    </row>
    <row r="87" ht="27.75" customHeight="1" spans="1:20" x14ac:dyDescent="0.25">
      <c r="A87" s="2"/>
      <c r="B87" s="2"/>
      <c r="C87" s="7">
        <f>IF($B87="","",IFERROR(INDEX('Meetings (MOM)'!$B$2:$B$201,MATCH($B87,'Meetings (MOM)'!$A$2:$A$201,0)),""))</f>
      </c>
      <c r="D87" s="5">
        <f>IF($B87="","",IFERROR(INDEX('Meetings (MOM)'!$C$2:$C$201,MATCH($B87,'Meetings (MOM)'!$A$2:$A$201,0)),""))</f>
      </c>
      <c r="E87" s="4"/>
      <c r="F87" s="2"/>
      <c r="G87" s="2"/>
      <c r="H87" s="2"/>
      <c r="I87" s="8"/>
      <c r="J87" s="8"/>
      <c r="K87" s="8"/>
      <c r="L87" s="2"/>
      <c r="M87" s="9"/>
      <c r="N87" s="8"/>
      <c r="O87" s="10">
        <f t="shared" si="3"/>
      </c>
      <c r="P87" s="4"/>
      <c r="Q87" s="5">
        <f t="shared" si="4"/>
      </c>
      <c r="R87" s="4"/>
      <c r="S87" s="5">
        <f>IF($B87="","",$B87&amp;"-"&amp;COUNTIFS($B$2:$B87,$B87))</f>
      </c>
      <c r="T87" s="5">
        <f t="shared" si="5"/>
        <v>0</v>
      </c>
    </row>
    <row r="88" ht="27.75" customHeight="1" spans="1:20" x14ac:dyDescent="0.25">
      <c r="A88" s="2"/>
      <c r="B88" s="2"/>
      <c r="C88" s="7">
        <f>IF($B88="","",IFERROR(INDEX('Meetings (MOM)'!$B$2:$B$201,MATCH($B88,'Meetings (MOM)'!$A$2:$A$201,0)),""))</f>
      </c>
      <c r="D88" s="5">
        <f>IF($B88="","",IFERROR(INDEX('Meetings (MOM)'!$C$2:$C$201,MATCH($B88,'Meetings (MOM)'!$A$2:$A$201,0)),""))</f>
      </c>
      <c r="E88" s="4"/>
      <c r="F88" s="2"/>
      <c r="G88" s="2"/>
      <c r="H88" s="2"/>
      <c r="I88" s="8"/>
      <c r="J88" s="8"/>
      <c r="K88" s="8"/>
      <c r="L88" s="2"/>
      <c r="M88" s="9"/>
      <c r="N88" s="8"/>
      <c r="O88" s="10">
        <f t="shared" si="3"/>
      </c>
      <c r="P88" s="4"/>
      <c r="Q88" s="5">
        <f t="shared" si="4"/>
      </c>
      <c r="R88" s="4"/>
      <c r="S88" s="5">
        <f>IF($B88="","",$B88&amp;"-"&amp;COUNTIFS($B$2:$B88,$B88))</f>
      </c>
      <c r="T88" s="5">
        <f t="shared" si="5"/>
        <v>0</v>
      </c>
    </row>
    <row r="89" ht="27.75" customHeight="1" spans="1:20" x14ac:dyDescent="0.25">
      <c r="A89" s="2"/>
      <c r="B89" s="2"/>
      <c r="C89" s="7">
        <f>IF($B89="","",IFERROR(INDEX('Meetings (MOM)'!$B$2:$B$201,MATCH($B89,'Meetings (MOM)'!$A$2:$A$201,0)),""))</f>
      </c>
      <c r="D89" s="5">
        <f>IF($B89="","",IFERROR(INDEX('Meetings (MOM)'!$C$2:$C$201,MATCH($B89,'Meetings (MOM)'!$A$2:$A$201,0)),""))</f>
      </c>
      <c r="E89" s="4"/>
      <c r="F89" s="2"/>
      <c r="G89" s="2"/>
      <c r="H89" s="2"/>
      <c r="I89" s="8"/>
      <c r="J89" s="8"/>
      <c r="K89" s="8"/>
      <c r="L89" s="2"/>
      <c r="M89" s="9"/>
      <c r="N89" s="8"/>
      <c r="O89" s="10">
        <f t="shared" si="3"/>
      </c>
      <c r="P89" s="4"/>
      <c r="Q89" s="5">
        <f t="shared" si="4"/>
      </c>
      <c r="R89" s="4"/>
      <c r="S89" s="5">
        <f>IF($B89="","",$B89&amp;"-"&amp;COUNTIFS($B$2:$B89,$B89))</f>
      </c>
      <c r="T89" s="5">
        <f t="shared" si="5"/>
        <v>0</v>
      </c>
    </row>
    <row r="90" ht="27.75" customHeight="1" spans="1:20" x14ac:dyDescent="0.25">
      <c r="A90" s="2"/>
      <c r="B90" s="2"/>
      <c r="C90" s="7">
        <f>IF($B90="","",IFERROR(INDEX('Meetings (MOM)'!$B$2:$B$201,MATCH($B90,'Meetings (MOM)'!$A$2:$A$201,0)),""))</f>
      </c>
      <c r="D90" s="5">
        <f>IF($B90="","",IFERROR(INDEX('Meetings (MOM)'!$C$2:$C$201,MATCH($B90,'Meetings (MOM)'!$A$2:$A$201,0)),""))</f>
      </c>
      <c r="E90" s="4"/>
      <c r="F90" s="2"/>
      <c r="G90" s="2"/>
      <c r="H90" s="2"/>
      <c r="I90" s="8"/>
      <c r="J90" s="8"/>
      <c r="K90" s="8"/>
      <c r="L90" s="2"/>
      <c r="M90" s="9"/>
      <c r="N90" s="8"/>
      <c r="O90" s="10">
        <f t="shared" si="3"/>
      </c>
      <c r="P90" s="4"/>
      <c r="Q90" s="5">
        <f t="shared" si="4"/>
      </c>
      <c r="R90" s="4"/>
      <c r="S90" s="5">
        <f>IF($B90="","",$B90&amp;"-"&amp;COUNTIFS($B$2:$B90,$B90))</f>
      </c>
      <c r="T90" s="5">
        <f t="shared" si="5"/>
        <v>0</v>
      </c>
    </row>
    <row r="91" ht="27.75" customHeight="1" spans="1:20" x14ac:dyDescent="0.25">
      <c r="A91" s="2"/>
      <c r="B91" s="2"/>
      <c r="C91" s="7">
        <f>IF($B91="","",IFERROR(INDEX('Meetings (MOM)'!$B$2:$B$201,MATCH($B91,'Meetings (MOM)'!$A$2:$A$201,0)),""))</f>
      </c>
      <c r="D91" s="5">
        <f>IF($B91="","",IFERROR(INDEX('Meetings (MOM)'!$C$2:$C$201,MATCH($B91,'Meetings (MOM)'!$A$2:$A$201,0)),""))</f>
      </c>
      <c r="E91" s="4"/>
      <c r="F91" s="2"/>
      <c r="G91" s="2"/>
      <c r="H91" s="2"/>
      <c r="I91" s="8"/>
      <c r="J91" s="8"/>
      <c r="K91" s="8"/>
      <c r="L91" s="2"/>
      <c r="M91" s="9"/>
      <c r="N91" s="8"/>
      <c r="O91" s="10">
        <f t="shared" si="3"/>
      </c>
      <c r="P91" s="4"/>
      <c r="Q91" s="5">
        <f t="shared" si="4"/>
      </c>
      <c r="R91" s="4"/>
      <c r="S91" s="5">
        <f>IF($B91="","",$B91&amp;"-"&amp;COUNTIFS($B$2:$B91,$B91))</f>
      </c>
      <c r="T91" s="5">
        <f t="shared" si="5"/>
        <v>0</v>
      </c>
    </row>
    <row r="92" ht="27.75" customHeight="1" spans="1:20" x14ac:dyDescent="0.25">
      <c r="A92" s="2"/>
      <c r="B92" s="2"/>
      <c r="C92" s="7">
        <f>IF($B92="","",IFERROR(INDEX('Meetings (MOM)'!$B$2:$B$201,MATCH($B92,'Meetings (MOM)'!$A$2:$A$201,0)),""))</f>
      </c>
      <c r="D92" s="5">
        <f>IF($B92="","",IFERROR(INDEX('Meetings (MOM)'!$C$2:$C$201,MATCH($B92,'Meetings (MOM)'!$A$2:$A$201,0)),""))</f>
      </c>
      <c r="E92" s="4"/>
      <c r="F92" s="2"/>
      <c r="G92" s="2"/>
      <c r="H92" s="2"/>
      <c r="I92" s="8"/>
      <c r="J92" s="8"/>
      <c r="K92" s="8"/>
      <c r="L92" s="2"/>
      <c r="M92" s="9"/>
      <c r="N92" s="8"/>
      <c r="O92" s="10">
        <f t="shared" si="3"/>
      </c>
      <c r="P92" s="4"/>
      <c r="Q92" s="5">
        <f t="shared" si="4"/>
      </c>
      <c r="R92" s="4"/>
      <c r="S92" s="5">
        <f>IF($B92="","",$B92&amp;"-"&amp;COUNTIFS($B$2:$B92,$B92))</f>
      </c>
      <c r="T92" s="5">
        <f t="shared" si="5"/>
        <v>0</v>
      </c>
    </row>
    <row r="93" ht="27.75" customHeight="1" spans="1:20" x14ac:dyDescent="0.25">
      <c r="A93" s="2"/>
      <c r="B93" s="2"/>
      <c r="C93" s="7">
        <f>IF($B93="","",IFERROR(INDEX('Meetings (MOM)'!$B$2:$B$201,MATCH($B93,'Meetings (MOM)'!$A$2:$A$201,0)),""))</f>
      </c>
      <c r="D93" s="5">
        <f>IF($B93="","",IFERROR(INDEX('Meetings (MOM)'!$C$2:$C$201,MATCH($B93,'Meetings (MOM)'!$A$2:$A$201,0)),""))</f>
      </c>
      <c r="E93" s="4"/>
      <c r="F93" s="2"/>
      <c r="G93" s="2"/>
      <c r="H93" s="2"/>
      <c r="I93" s="8"/>
      <c r="J93" s="8"/>
      <c r="K93" s="8"/>
      <c r="L93" s="2"/>
      <c r="M93" s="9"/>
      <c r="N93" s="8"/>
      <c r="O93" s="10">
        <f t="shared" si="3"/>
      </c>
      <c r="P93" s="4"/>
      <c r="Q93" s="5">
        <f t="shared" si="4"/>
      </c>
      <c r="R93" s="4"/>
      <c r="S93" s="5">
        <f>IF($B93="","",$B93&amp;"-"&amp;COUNTIFS($B$2:$B93,$B93))</f>
      </c>
      <c r="T93" s="5">
        <f t="shared" si="5"/>
        <v>0</v>
      </c>
    </row>
    <row r="94" ht="27.75" customHeight="1" spans="1:20" x14ac:dyDescent="0.25">
      <c r="A94" s="2"/>
      <c r="B94" s="2"/>
      <c r="C94" s="7">
        <f>IF($B94="","",IFERROR(INDEX('Meetings (MOM)'!$B$2:$B$201,MATCH($B94,'Meetings (MOM)'!$A$2:$A$201,0)),""))</f>
      </c>
      <c r="D94" s="5">
        <f>IF($B94="","",IFERROR(INDEX('Meetings (MOM)'!$C$2:$C$201,MATCH($B94,'Meetings (MOM)'!$A$2:$A$201,0)),""))</f>
      </c>
      <c r="E94" s="4"/>
      <c r="F94" s="2"/>
      <c r="G94" s="2"/>
      <c r="H94" s="2"/>
      <c r="I94" s="8"/>
      <c r="J94" s="8"/>
      <c r="K94" s="8"/>
      <c r="L94" s="2"/>
      <c r="M94" s="9"/>
      <c r="N94" s="8"/>
      <c r="O94" s="10">
        <f t="shared" si="3"/>
      </c>
      <c r="P94" s="4"/>
      <c r="Q94" s="5">
        <f t="shared" si="4"/>
      </c>
      <c r="R94" s="4"/>
      <c r="S94" s="5">
        <f>IF($B94="","",$B94&amp;"-"&amp;COUNTIFS($B$2:$B94,$B94))</f>
      </c>
      <c r="T94" s="5">
        <f t="shared" si="5"/>
        <v>0</v>
      </c>
    </row>
    <row r="95" ht="27.75" customHeight="1" spans="1:20" x14ac:dyDescent="0.25">
      <c r="A95" s="2"/>
      <c r="B95" s="2"/>
      <c r="C95" s="7">
        <f>IF($B95="","",IFERROR(INDEX('Meetings (MOM)'!$B$2:$B$201,MATCH($B95,'Meetings (MOM)'!$A$2:$A$201,0)),""))</f>
      </c>
      <c r="D95" s="5">
        <f>IF($B95="","",IFERROR(INDEX('Meetings (MOM)'!$C$2:$C$201,MATCH($B95,'Meetings (MOM)'!$A$2:$A$201,0)),""))</f>
      </c>
      <c r="E95" s="4"/>
      <c r="F95" s="2"/>
      <c r="G95" s="2"/>
      <c r="H95" s="2"/>
      <c r="I95" s="8"/>
      <c r="J95" s="8"/>
      <c r="K95" s="8"/>
      <c r="L95" s="2"/>
      <c r="M95" s="9"/>
      <c r="N95" s="8"/>
      <c r="O95" s="10">
        <f t="shared" si="3"/>
      </c>
      <c r="P95" s="4"/>
      <c r="Q95" s="5">
        <f t="shared" si="4"/>
      </c>
      <c r="R95" s="4"/>
      <c r="S95" s="5">
        <f>IF($B95="","",$B95&amp;"-"&amp;COUNTIFS($B$2:$B95,$B95))</f>
      </c>
      <c r="T95" s="5">
        <f t="shared" si="5"/>
        <v>0</v>
      </c>
    </row>
    <row r="96" ht="27.75" customHeight="1" spans="1:20" x14ac:dyDescent="0.25">
      <c r="A96" s="2"/>
      <c r="B96" s="2"/>
      <c r="C96" s="7">
        <f>IF($B96="","",IFERROR(INDEX('Meetings (MOM)'!$B$2:$B$201,MATCH($B96,'Meetings (MOM)'!$A$2:$A$201,0)),""))</f>
      </c>
      <c r="D96" s="5">
        <f>IF($B96="","",IFERROR(INDEX('Meetings (MOM)'!$C$2:$C$201,MATCH($B96,'Meetings (MOM)'!$A$2:$A$201,0)),""))</f>
      </c>
      <c r="E96" s="4"/>
      <c r="F96" s="2"/>
      <c r="G96" s="2"/>
      <c r="H96" s="2"/>
      <c r="I96" s="8"/>
      <c r="J96" s="8"/>
      <c r="K96" s="8"/>
      <c r="L96" s="2"/>
      <c r="M96" s="9"/>
      <c r="N96" s="8"/>
      <c r="O96" s="10">
        <f t="shared" si="3"/>
      </c>
      <c r="P96" s="4"/>
      <c r="Q96" s="5">
        <f t="shared" si="4"/>
      </c>
      <c r="R96" s="4"/>
      <c r="S96" s="5">
        <f>IF($B96="","",$B96&amp;"-"&amp;COUNTIFS($B$2:$B96,$B96))</f>
      </c>
      <c r="T96" s="5">
        <f t="shared" si="5"/>
        <v>0</v>
      </c>
    </row>
    <row r="97" ht="27.75" customHeight="1" spans="1:20" x14ac:dyDescent="0.25">
      <c r="A97" s="2"/>
      <c r="B97" s="2"/>
      <c r="C97" s="7">
        <f>IF($B97="","",IFERROR(INDEX('Meetings (MOM)'!$B$2:$B$201,MATCH($B97,'Meetings (MOM)'!$A$2:$A$201,0)),""))</f>
      </c>
      <c r="D97" s="5">
        <f>IF($B97="","",IFERROR(INDEX('Meetings (MOM)'!$C$2:$C$201,MATCH($B97,'Meetings (MOM)'!$A$2:$A$201,0)),""))</f>
      </c>
      <c r="E97" s="4"/>
      <c r="F97" s="2"/>
      <c r="G97" s="2"/>
      <c r="H97" s="2"/>
      <c r="I97" s="8"/>
      <c r="J97" s="8"/>
      <c r="K97" s="8"/>
      <c r="L97" s="2"/>
      <c r="M97" s="9"/>
      <c r="N97" s="8"/>
      <c r="O97" s="10">
        <f t="shared" si="3"/>
      </c>
      <c r="P97" s="4"/>
      <c r="Q97" s="5">
        <f t="shared" si="4"/>
      </c>
      <c r="R97" s="4"/>
      <c r="S97" s="5">
        <f>IF($B97="","",$B97&amp;"-"&amp;COUNTIFS($B$2:$B97,$B97))</f>
      </c>
      <c r="T97" s="5">
        <f t="shared" si="5"/>
        <v>0</v>
      </c>
    </row>
    <row r="98" ht="27.75" customHeight="1" spans="1:20" x14ac:dyDescent="0.25">
      <c r="A98" s="2"/>
      <c r="B98" s="2"/>
      <c r="C98" s="7">
        <f>IF($B98="","",IFERROR(INDEX('Meetings (MOM)'!$B$2:$B$201,MATCH($B98,'Meetings (MOM)'!$A$2:$A$201,0)),""))</f>
      </c>
      <c r="D98" s="5">
        <f>IF($B98="","",IFERROR(INDEX('Meetings (MOM)'!$C$2:$C$201,MATCH($B98,'Meetings (MOM)'!$A$2:$A$201,0)),""))</f>
      </c>
      <c r="E98" s="4"/>
      <c r="F98" s="2"/>
      <c r="G98" s="2"/>
      <c r="H98" s="2"/>
      <c r="I98" s="8"/>
      <c r="J98" s="8"/>
      <c r="K98" s="8"/>
      <c r="L98" s="2"/>
      <c r="M98" s="9"/>
      <c r="N98" s="8"/>
      <c r="O98" s="10">
        <f t="shared" si="3"/>
      </c>
      <c r="P98" s="4"/>
      <c r="Q98" s="5">
        <f t="shared" si="4"/>
      </c>
      <c r="R98" s="4"/>
      <c r="S98" s="5">
        <f>IF($B98="","",$B98&amp;"-"&amp;COUNTIFS($B$2:$B98,$B98))</f>
      </c>
      <c r="T98" s="5">
        <f t="shared" si="5"/>
        <v>0</v>
      </c>
    </row>
    <row r="99" ht="27.75" customHeight="1" spans="1:20" x14ac:dyDescent="0.25">
      <c r="A99" s="2"/>
      <c r="B99" s="2"/>
      <c r="C99" s="7">
        <f>IF($B99="","",IFERROR(INDEX('Meetings (MOM)'!$B$2:$B$201,MATCH($B99,'Meetings (MOM)'!$A$2:$A$201,0)),""))</f>
      </c>
      <c r="D99" s="5">
        <f>IF($B99="","",IFERROR(INDEX('Meetings (MOM)'!$C$2:$C$201,MATCH($B99,'Meetings (MOM)'!$A$2:$A$201,0)),""))</f>
      </c>
      <c r="E99" s="4"/>
      <c r="F99" s="2"/>
      <c r="G99" s="2"/>
      <c r="H99" s="2"/>
      <c r="I99" s="8"/>
      <c r="J99" s="8"/>
      <c r="K99" s="8"/>
      <c r="L99" s="2"/>
      <c r="M99" s="9"/>
      <c r="N99" s="8"/>
      <c r="O99" s="10">
        <f t="shared" si="3"/>
      </c>
      <c r="P99" s="4"/>
      <c r="Q99" s="5">
        <f t="shared" si="4"/>
      </c>
      <c r="R99" s="4"/>
      <c r="S99" s="5">
        <f>IF($B99="","",$B99&amp;"-"&amp;COUNTIFS($B$2:$B99,$B99))</f>
      </c>
      <c r="T99" s="5">
        <f t="shared" si="5"/>
        <v>0</v>
      </c>
    </row>
    <row r="100" ht="27.75" customHeight="1" spans="1:20" x14ac:dyDescent="0.25">
      <c r="A100" s="2"/>
      <c r="B100" s="2"/>
      <c r="C100" s="7">
        <f>IF($B100="","",IFERROR(INDEX('Meetings (MOM)'!$B$2:$B$201,MATCH($B100,'Meetings (MOM)'!$A$2:$A$201,0)),""))</f>
      </c>
      <c r="D100" s="5">
        <f>IF($B100="","",IFERROR(INDEX('Meetings (MOM)'!$C$2:$C$201,MATCH($B100,'Meetings (MOM)'!$A$2:$A$201,0)),""))</f>
      </c>
      <c r="E100" s="4"/>
      <c r="F100" s="2"/>
      <c r="G100" s="2"/>
      <c r="H100" s="2"/>
      <c r="I100" s="8"/>
      <c r="J100" s="8"/>
      <c r="K100" s="8"/>
      <c r="L100" s="2"/>
      <c r="M100" s="9"/>
      <c r="N100" s="8"/>
      <c r="O100" s="10">
        <f t="shared" si="3"/>
      </c>
      <c r="P100" s="4"/>
      <c r="Q100" s="5">
        <f t="shared" si="4"/>
      </c>
      <c r="R100" s="4"/>
      <c r="S100" s="5">
        <f>IF($B100="","",$B100&amp;"-"&amp;COUNTIFS($B$2:$B100,$B100))</f>
      </c>
      <c r="T100" s="5">
        <f t="shared" si="5"/>
        <v>0</v>
      </c>
    </row>
    <row r="101" ht="27.75" customHeight="1" spans="1:20" x14ac:dyDescent="0.25">
      <c r="A101" s="2"/>
      <c r="B101" s="2"/>
      <c r="C101" s="7">
        <f>IF($B101="","",IFERROR(INDEX('Meetings (MOM)'!$B$2:$B$201,MATCH($B101,'Meetings (MOM)'!$A$2:$A$201,0)),""))</f>
      </c>
      <c r="D101" s="5">
        <f>IF($B101="","",IFERROR(INDEX('Meetings (MOM)'!$C$2:$C$201,MATCH($B101,'Meetings (MOM)'!$A$2:$A$201,0)),""))</f>
      </c>
      <c r="E101" s="4"/>
      <c r="F101" s="2"/>
      <c r="G101" s="2"/>
      <c r="H101" s="2"/>
      <c r="I101" s="8"/>
      <c r="J101" s="8"/>
      <c r="K101" s="8"/>
      <c r="L101" s="2"/>
      <c r="M101" s="9"/>
      <c r="N101" s="8"/>
      <c r="O101" s="10">
        <f t="shared" si="3"/>
      </c>
      <c r="P101" s="4"/>
      <c r="Q101" s="5">
        <f t="shared" si="4"/>
      </c>
      <c r="R101" s="4"/>
      <c r="S101" s="5">
        <f>IF($B101="","",$B101&amp;"-"&amp;COUNTIFS($B$2:$B101,$B101))</f>
      </c>
      <c r="T101" s="5">
        <f t="shared" si="5"/>
        <v>0</v>
      </c>
    </row>
    <row r="102" ht="27.75" customHeight="1" spans="1:20" x14ac:dyDescent="0.25">
      <c r="A102" s="2"/>
      <c r="B102" s="2"/>
      <c r="C102" s="7">
        <f>IF($B102="","",IFERROR(INDEX('Meetings (MOM)'!$B$2:$B$201,MATCH($B102,'Meetings (MOM)'!$A$2:$A$201,0)),""))</f>
      </c>
      <c r="D102" s="5">
        <f>IF($B102="","",IFERROR(INDEX('Meetings (MOM)'!$C$2:$C$201,MATCH($B102,'Meetings (MOM)'!$A$2:$A$201,0)),""))</f>
      </c>
      <c r="E102" s="4"/>
      <c r="F102" s="2"/>
      <c r="G102" s="2"/>
      <c r="H102" s="2"/>
      <c r="I102" s="8"/>
      <c r="J102" s="8"/>
      <c r="K102" s="8"/>
      <c r="L102" s="2"/>
      <c r="M102" s="9"/>
      <c r="N102" s="8"/>
      <c r="O102" s="10">
        <f t="shared" si="3"/>
      </c>
      <c r="P102" s="4"/>
      <c r="Q102" s="5">
        <f t="shared" si="4"/>
      </c>
      <c r="R102" s="4"/>
      <c r="S102" s="5">
        <f>IF($B102="","",$B102&amp;"-"&amp;COUNTIFS($B$2:$B102,$B102))</f>
      </c>
      <c r="T102" s="5">
        <f t="shared" si="5"/>
        <v>0</v>
      </c>
    </row>
    <row r="103" ht="27.75" customHeight="1" spans="1:20" x14ac:dyDescent="0.25">
      <c r="A103" s="2"/>
      <c r="B103" s="2"/>
      <c r="C103" s="7">
        <f>IF($B103="","",IFERROR(INDEX('Meetings (MOM)'!$B$2:$B$201,MATCH($B103,'Meetings (MOM)'!$A$2:$A$201,0)),""))</f>
      </c>
      <c r="D103" s="5">
        <f>IF($B103="","",IFERROR(INDEX('Meetings (MOM)'!$C$2:$C$201,MATCH($B103,'Meetings (MOM)'!$A$2:$A$201,0)),""))</f>
      </c>
      <c r="E103" s="4"/>
      <c r="F103" s="2"/>
      <c r="G103" s="2"/>
      <c r="H103" s="2"/>
      <c r="I103" s="8"/>
      <c r="J103" s="8"/>
      <c r="K103" s="8"/>
      <c r="L103" s="2"/>
      <c r="M103" s="9"/>
      <c r="N103" s="8"/>
      <c r="O103" s="10">
        <f t="shared" si="3"/>
      </c>
      <c r="P103" s="4"/>
      <c r="Q103" s="5">
        <f t="shared" si="4"/>
      </c>
      <c r="R103" s="4"/>
      <c r="S103" s="5">
        <f>IF($B103="","",$B103&amp;"-"&amp;COUNTIFS($B$2:$B103,$B103))</f>
      </c>
      <c r="T103" s="5">
        <f t="shared" si="5"/>
        <v>0</v>
      </c>
    </row>
    <row r="104" ht="27.75" customHeight="1" spans="1:20" x14ac:dyDescent="0.25">
      <c r="A104" s="2"/>
      <c r="B104" s="2"/>
      <c r="C104" s="7">
        <f>IF($B104="","",IFERROR(INDEX('Meetings (MOM)'!$B$2:$B$201,MATCH($B104,'Meetings (MOM)'!$A$2:$A$201,0)),""))</f>
      </c>
      <c r="D104" s="5">
        <f>IF($B104="","",IFERROR(INDEX('Meetings (MOM)'!$C$2:$C$201,MATCH($B104,'Meetings (MOM)'!$A$2:$A$201,0)),""))</f>
      </c>
      <c r="E104" s="4"/>
      <c r="F104" s="2"/>
      <c r="G104" s="2"/>
      <c r="H104" s="2"/>
      <c r="I104" s="8"/>
      <c r="J104" s="8"/>
      <c r="K104" s="8"/>
      <c r="L104" s="2"/>
      <c r="M104" s="9"/>
      <c r="N104" s="8"/>
      <c r="O104" s="10">
        <f t="shared" si="3"/>
      </c>
      <c r="P104" s="4"/>
      <c r="Q104" s="5">
        <f t="shared" si="4"/>
      </c>
      <c r="R104" s="4"/>
      <c r="S104" s="5">
        <f>IF($B104="","",$B104&amp;"-"&amp;COUNTIFS($B$2:$B104,$B104))</f>
      </c>
      <c r="T104" s="5">
        <f t="shared" si="5"/>
        <v>0</v>
      </c>
    </row>
    <row r="105" ht="27.75" customHeight="1" spans="1:20" x14ac:dyDescent="0.25">
      <c r="A105" s="2"/>
      <c r="B105" s="2"/>
      <c r="C105" s="7">
        <f>IF($B105="","",IFERROR(INDEX('Meetings (MOM)'!$B$2:$B$201,MATCH($B105,'Meetings (MOM)'!$A$2:$A$201,0)),""))</f>
      </c>
      <c r="D105" s="5">
        <f>IF($B105="","",IFERROR(INDEX('Meetings (MOM)'!$C$2:$C$201,MATCH($B105,'Meetings (MOM)'!$A$2:$A$201,0)),""))</f>
      </c>
      <c r="E105" s="4"/>
      <c r="F105" s="2"/>
      <c r="G105" s="2"/>
      <c r="H105" s="2"/>
      <c r="I105" s="8"/>
      <c r="J105" s="8"/>
      <c r="K105" s="8"/>
      <c r="L105" s="2"/>
      <c r="M105" s="9"/>
      <c r="N105" s="8"/>
      <c r="O105" s="10">
        <f t="shared" si="3"/>
      </c>
      <c r="P105" s="4"/>
      <c r="Q105" s="5">
        <f t="shared" si="4"/>
      </c>
      <c r="R105" s="4"/>
      <c r="S105" s="5">
        <f>IF($B105="","",$B105&amp;"-"&amp;COUNTIFS($B$2:$B105,$B105))</f>
      </c>
      <c r="T105" s="5">
        <f t="shared" si="5"/>
        <v>0</v>
      </c>
    </row>
    <row r="106" ht="27.75" customHeight="1" spans="1:20" x14ac:dyDescent="0.25">
      <c r="A106" s="2"/>
      <c r="B106" s="2"/>
      <c r="C106" s="7">
        <f>IF($B106="","",IFERROR(INDEX('Meetings (MOM)'!$B$2:$B$201,MATCH($B106,'Meetings (MOM)'!$A$2:$A$201,0)),""))</f>
      </c>
      <c r="D106" s="5">
        <f>IF($B106="","",IFERROR(INDEX('Meetings (MOM)'!$C$2:$C$201,MATCH($B106,'Meetings (MOM)'!$A$2:$A$201,0)),""))</f>
      </c>
      <c r="E106" s="4"/>
      <c r="F106" s="2"/>
      <c r="G106" s="2"/>
      <c r="H106" s="2"/>
      <c r="I106" s="8"/>
      <c r="J106" s="8"/>
      <c r="K106" s="8"/>
      <c r="L106" s="2"/>
      <c r="M106" s="9"/>
      <c r="N106" s="8"/>
      <c r="O106" s="10">
        <f t="shared" si="3"/>
      </c>
      <c r="P106" s="4"/>
      <c r="Q106" s="5">
        <f t="shared" si="4"/>
      </c>
      <c r="R106" s="4"/>
      <c r="S106" s="5">
        <f>IF($B106="","",$B106&amp;"-"&amp;COUNTIFS($B$2:$B106,$B106))</f>
      </c>
      <c r="T106" s="5">
        <f t="shared" si="5"/>
        <v>0</v>
      </c>
    </row>
    <row r="107" ht="27.75" customHeight="1" spans="1:20" x14ac:dyDescent="0.25">
      <c r="A107" s="2"/>
      <c r="B107" s="2"/>
      <c r="C107" s="7">
        <f>IF($B107="","",IFERROR(INDEX('Meetings (MOM)'!$B$2:$B$201,MATCH($B107,'Meetings (MOM)'!$A$2:$A$201,0)),""))</f>
      </c>
      <c r="D107" s="5">
        <f>IF($B107="","",IFERROR(INDEX('Meetings (MOM)'!$C$2:$C$201,MATCH($B107,'Meetings (MOM)'!$A$2:$A$201,0)),""))</f>
      </c>
      <c r="E107" s="4"/>
      <c r="F107" s="2"/>
      <c r="G107" s="2"/>
      <c r="H107" s="2"/>
      <c r="I107" s="8"/>
      <c r="J107" s="8"/>
      <c r="K107" s="8"/>
      <c r="L107" s="2"/>
      <c r="M107" s="9"/>
      <c r="N107" s="8"/>
      <c r="O107" s="10">
        <f t="shared" si="3"/>
      </c>
      <c r="P107" s="4"/>
      <c r="Q107" s="5">
        <f t="shared" si="4"/>
      </c>
      <c r="R107" s="4"/>
      <c r="S107" s="5">
        <f>IF($B107="","",$B107&amp;"-"&amp;COUNTIFS($B$2:$B107,$B107))</f>
      </c>
      <c r="T107" s="5">
        <f t="shared" si="5"/>
        <v>0</v>
      </c>
    </row>
    <row r="108" ht="27.75" customHeight="1" spans="1:20" x14ac:dyDescent="0.25">
      <c r="A108" s="2"/>
      <c r="B108" s="2"/>
      <c r="C108" s="7">
        <f>IF($B108="","",IFERROR(INDEX('Meetings (MOM)'!$B$2:$B$201,MATCH($B108,'Meetings (MOM)'!$A$2:$A$201,0)),""))</f>
      </c>
      <c r="D108" s="5">
        <f>IF($B108="","",IFERROR(INDEX('Meetings (MOM)'!$C$2:$C$201,MATCH($B108,'Meetings (MOM)'!$A$2:$A$201,0)),""))</f>
      </c>
      <c r="E108" s="4"/>
      <c r="F108" s="2"/>
      <c r="G108" s="2"/>
      <c r="H108" s="2"/>
      <c r="I108" s="8"/>
      <c r="J108" s="8"/>
      <c r="K108" s="8"/>
      <c r="L108" s="2"/>
      <c r="M108" s="9"/>
      <c r="N108" s="8"/>
      <c r="O108" s="10">
        <f t="shared" si="3"/>
      </c>
      <c r="P108" s="4"/>
      <c r="Q108" s="5">
        <f t="shared" si="4"/>
      </c>
      <c r="R108" s="4"/>
      <c r="S108" s="5">
        <f>IF($B108="","",$B108&amp;"-"&amp;COUNTIFS($B$2:$B108,$B108))</f>
      </c>
      <c r="T108" s="5">
        <f t="shared" si="5"/>
        <v>0</v>
      </c>
    </row>
    <row r="109" ht="27.75" customHeight="1" spans="1:20" x14ac:dyDescent="0.25">
      <c r="A109" s="2"/>
      <c r="B109" s="2"/>
      <c r="C109" s="7">
        <f>IF($B109="","",IFERROR(INDEX('Meetings (MOM)'!$B$2:$B$201,MATCH($B109,'Meetings (MOM)'!$A$2:$A$201,0)),""))</f>
      </c>
      <c r="D109" s="5">
        <f>IF($B109="","",IFERROR(INDEX('Meetings (MOM)'!$C$2:$C$201,MATCH($B109,'Meetings (MOM)'!$A$2:$A$201,0)),""))</f>
      </c>
      <c r="E109" s="4"/>
      <c r="F109" s="2"/>
      <c r="G109" s="2"/>
      <c r="H109" s="2"/>
      <c r="I109" s="8"/>
      <c r="J109" s="8"/>
      <c r="K109" s="8"/>
      <c r="L109" s="2"/>
      <c r="M109" s="9"/>
      <c r="N109" s="8"/>
      <c r="O109" s="10">
        <f t="shared" si="3"/>
      </c>
      <c r="P109" s="4"/>
      <c r="Q109" s="5">
        <f t="shared" si="4"/>
      </c>
      <c r="R109" s="4"/>
      <c r="S109" s="5">
        <f>IF($B109="","",$B109&amp;"-"&amp;COUNTIFS($B$2:$B109,$B109))</f>
      </c>
      <c r="T109" s="5">
        <f t="shared" si="5"/>
        <v>0</v>
      </c>
    </row>
    <row r="110" ht="27.75" customHeight="1" spans="1:20" x14ac:dyDescent="0.25">
      <c r="A110" s="2"/>
      <c r="B110" s="2"/>
      <c r="C110" s="7">
        <f>IF($B110="","",IFERROR(INDEX('Meetings (MOM)'!$B$2:$B$201,MATCH($B110,'Meetings (MOM)'!$A$2:$A$201,0)),""))</f>
      </c>
      <c r="D110" s="5">
        <f>IF($B110="","",IFERROR(INDEX('Meetings (MOM)'!$C$2:$C$201,MATCH($B110,'Meetings (MOM)'!$A$2:$A$201,0)),""))</f>
      </c>
      <c r="E110" s="4"/>
      <c r="F110" s="2"/>
      <c r="G110" s="2"/>
      <c r="H110" s="2"/>
      <c r="I110" s="8"/>
      <c r="J110" s="8"/>
      <c r="K110" s="8"/>
      <c r="L110" s="2"/>
      <c r="M110" s="9"/>
      <c r="N110" s="8"/>
      <c r="O110" s="10">
        <f t="shared" si="3"/>
      </c>
      <c r="P110" s="4"/>
      <c r="Q110" s="5">
        <f t="shared" si="4"/>
      </c>
      <c r="R110" s="4"/>
      <c r="S110" s="5">
        <f>IF($B110="","",$B110&amp;"-"&amp;COUNTIFS($B$2:$B110,$B110))</f>
      </c>
      <c r="T110" s="5">
        <f t="shared" si="5"/>
        <v>0</v>
      </c>
    </row>
    <row r="111" ht="27.75" customHeight="1" spans="1:20" x14ac:dyDescent="0.25">
      <c r="A111" s="2"/>
      <c r="B111" s="2"/>
      <c r="C111" s="7">
        <f>IF($B111="","",IFERROR(INDEX('Meetings (MOM)'!$B$2:$B$201,MATCH($B111,'Meetings (MOM)'!$A$2:$A$201,0)),""))</f>
      </c>
      <c r="D111" s="5">
        <f>IF($B111="","",IFERROR(INDEX('Meetings (MOM)'!$C$2:$C$201,MATCH($B111,'Meetings (MOM)'!$A$2:$A$201,0)),""))</f>
      </c>
      <c r="E111" s="4"/>
      <c r="F111" s="2"/>
      <c r="G111" s="2"/>
      <c r="H111" s="2"/>
      <c r="I111" s="8"/>
      <c r="J111" s="8"/>
      <c r="K111" s="8"/>
      <c r="L111" s="2"/>
      <c r="M111" s="9"/>
      <c r="N111" s="8"/>
      <c r="O111" s="10">
        <f t="shared" si="3"/>
      </c>
      <c r="P111" s="4"/>
      <c r="Q111" s="5">
        <f t="shared" si="4"/>
      </c>
      <c r="R111" s="4"/>
      <c r="S111" s="5">
        <f>IF($B111="","",$B111&amp;"-"&amp;COUNTIFS($B$2:$B111,$B111))</f>
      </c>
      <c r="T111" s="5">
        <f t="shared" si="5"/>
        <v>0</v>
      </c>
    </row>
    <row r="112" ht="27.75" customHeight="1" spans="1:20" x14ac:dyDescent="0.25">
      <c r="A112" s="2"/>
      <c r="B112" s="2"/>
      <c r="C112" s="7">
        <f>IF($B112="","",IFERROR(INDEX('Meetings (MOM)'!$B$2:$B$201,MATCH($B112,'Meetings (MOM)'!$A$2:$A$201,0)),""))</f>
      </c>
      <c r="D112" s="5">
        <f>IF($B112="","",IFERROR(INDEX('Meetings (MOM)'!$C$2:$C$201,MATCH($B112,'Meetings (MOM)'!$A$2:$A$201,0)),""))</f>
      </c>
      <c r="E112" s="4"/>
      <c r="F112" s="2"/>
      <c r="G112" s="2"/>
      <c r="H112" s="2"/>
      <c r="I112" s="8"/>
      <c r="J112" s="8"/>
      <c r="K112" s="8"/>
      <c r="L112" s="2"/>
      <c r="M112" s="9"/>
      <c r="N112" s="8"/>
      <c r="O112" s="10">
        <f t="shared" si="3"/>
      </c>
      <c r="P112" s="4"/>
      <c r="Q112" s="5">
        <f t="shared" si="4"/>
      </c>
      <c r="R112" s="4"/>
      <c r="S112" s="5">
        <f>IF($B112="","",$B112&amp;"-"&amp;COUNTIFS($B$2:$B112,$B112))</f>
      </c>
      <c r="T112" s="5">
        <f t="shared" si="5"/>
        <v>0</v>
      </c>
    </row>
    <row r="113" ht="27.75" customHeight="1" spans="1:20" x14ac:dyDescent="0.25">
      <c r="A113" s="2"/>
      <c r="B113" s="2"/>
      <c r="C113" s="7">
        <f>IF($B113="","",IFERROR(INDEX('Meetings (MOM)'!$B$2:$B$201,MATCH($B113,'Meetings (MOM)'!$A$2:$A$201,0)),""))</f>
      </c>
      <c r="D113" s="5">
        <f>IF($B113="","",IFERROR(INDEX('Meetings (MOM)'!$C$2:$C$201,MATCH($B113,'Meetings (MOM)'!$A$2:$A$201,0)),""))</f>
      </c>
      <c r="E113" s="4"/>
      <c r="F113" s="2"/>
      <c r="G113" s="2"/>
      <c r="H113" s="2"/>
      <c r="I113" s="8"/>
      <c r="J113" s="8"/>
      <c r="K113" s="8"/>
      <c r="L113" s="2"/>
      <c r="M113" s="9"/>
      <c r="N113" s="8"/>
      <c r="O113" s="10">
        <f t="shared" si="3"/>
      </c>
      <c r="P113" s="4"/>
      <c r="Q113" s="5">
        <f t="shared" si="4"/>
      </c>
      <c r="R113" s="4"/>
      <c r="S113" s="5">
        <f>IF($B113="","",$B113&amp;"-"&amp;COUNTIFS($B$2:$B113,$B113))</f>
      </c>
      <c r="T113" s="5">
        <f t="shared" si="5"/>
        <v>0</v>
      </c>
    </row>
    <row r="114" ht="27.75" customHeight="1" spans="1:20" x14ac:dyDescent="0.25">
      <c r="A114" s="2"/>
      <c r="B114" s="2"/>
      <c r="C114" s="7">
        <f>IF($B114="","",IFERROR(INDEX('Meetings (MOM)'!$B$2:$B$201,MATCH($B114,'Meetings (MOM)'!$A$2:$A$201,0)),""))</f>
      </c>
      <c r="D114" s="5">
        <f>IF($B114="","",IFERROR(INDEX('Meetings (MOM)'!$C$2:$C$201,MATCH($B114,'Meetings (MOM)'!$A$2:$A$201,0)),""))</f>
      </c>
      <c r="E114" s="4"/>
      <c r="F114" s="2"/>
      <c r="G114" s="2"/>
      <c r="H114" s="2"/>
      <c r="I114" s="8"/>
      <c r="J114" s="8"/>
      <c r="K114" s="8"/>
      <c r="L114" s="2"/>
      <c r="M114" s="9"/>
      <c r="N114" s="8"/>
      <c r="O114" s="10">
        <f t="shared" si="3"/>
      </c>
      <c r="P114" s="4"/>
      <c r="Q114" s="5">
        <f t="shared" si="4"/>
      </c>
      <c r="R114" s="4"/>
      <c r="S114" s="5">
        <f>IF($B114="","",$B114&amp;"-"&amp;COUNTIFS($B$2:$B114,$B114))</f>
      </c>
      <c r="T114" s="5">
        <f t="shared" si="5"/>
        <v>0</v>
      </c>
    </row>
    <row r="115" ht="27.75" customHeight="1" spans="1:20" x14ac:dyDescent="0.25">
      <c r="A115" s="2"/>
      <c r="B115" s="2"/>
      <c r="C115" s="7">
        <f>IF($B115="","",IFERROR(INDEX('Meetings (MOM)'!$B$2:$B$201,MATCH($B115,'Meetings (MOM)'!$A$2:$A$201,0)),""))</f>
      </c>
      <c r="D115" s="5">
        <f>IF($B115="","",IFERROR(INDEX('Meetings (MOM)'!$C$2:$C$201,MATCH($B115,'Meetings (MOM)'!$A$2:$A$201,0)),""))</f>
      </c>
      <c r="E115" s="4"/>
      <c r="F115" s="2"/>
      <c r="G115" s="2"/>
      <c r="H115" s="2"/>
      <c r="I115" s="8"/>
      <c r="J115" s="8"/>
      <c r="K115" s="8"/>
      <c r="L115" s="2"/>
      <c r="M115" s="9"/>
      <c r="N115" s="8"/>
      <c r="O115" s="10">
        <f t="shared" si="3"/>
      </c>
      <c r="P115" s="4"/>
      <c r="Q115" s="5">
        <f t="shared" si="4"/>
      </c>
      <c r="R115" s="4"/>
      <c r="S115" s="5">
        <f>IF($B115="","",$B115&amp;"-"&amp;COUNTIFS($B$2:$B115,$B115))</f>
      </c>
      <c r="T115" s="5">
        <f t="shared" si="5"/>
        <v>0</v>
      </c>
    </row>
    <row r="116" ht="27.75" customHeight="1" spans="1:20" x14ac:dyDescent="0.25">
      <c r="A116" s="2"/>
      <c r="B116" s="2"/>
      <c r="C116" s="7">
        <f>IF($B116="","",IFERROR(INDEX('Meetings (MOM)'!$B$2:$B$201,MATCH($B116,'Meetings (MOM)'!$A$2:$A$201,0)),""))</f>
      </c>
      <c r="D116" s="5">
        <f>IF($B116="","",IFERROR(INDEX('Meetings (MOM)'!$C$2:$C$201,MATCH($B116,'Meetings (MOM)'!$A$2:$A$201,0)),""))</f>
      </c>
      <c r="E116" s="4"/>
      <c r="F116" s="2"/>
      <c r="G116" s="2"/>
      <c r="H116" s="2"/>
      <c r="I116" s="8"/>
      <c r="J116" s="8"/>
      <c r="K116" s="8"/>
      <c r="L116" s="2"/>
      <c r="M116" s="9"/>
      <c r="N116" s="8"/>
      <c r="O116" s="10">
        <f t="shared" si="3"/>
      </c>
      <c r="P116" s="4"/>
      <c r="Q116" s="5">
        <f t="shared" si="4"/>
      </c>
      <c r="R116" s="4"/>
      <c r="S116" s="5">
        <f>IF($B116="","",$B116&amp;"-"&amp;COUNTIFS($B$2:$B116,$B116))</f>
      </c>
      <c r="T116" s="5">
        <f t="shared" si="5"/>
        <v>0</v>
      </c>
    </row>
    <row r="117" ht="27.75" customHeight="1" spans="1:20" x14ac:dyDescent="0.25">
      <c r="A117" s="2"/>
      <c r="B117" s="2"/>
      <c r="C117" s="7">
        <f>IF($B117="","",IFERROR(INDEX('Meetings (MOM)'!$B$2:$B$201,MATCH($B117,'Meetings (MOM)'!$A$2:$A$201,0)),""))</f>
      </c>
      <c r="D117" s="5">
        <f>IF($B117="","",IFERROR(INDEX('Meetings (MOM)'!$C$2:$C$201,MATCH($B117,'Meetings (MOM)'!$A$2:$A$201,0)),""))</f>
      </c>
      <c r="E117" s="4"/>
      <c r="F117" s="2"/>
      <c r="G117" s="2"/>
      <c r="H117" s="2"/>
      <c r="I117" s="8"/>
      <c r="J117" s="8"/>
      <c r="K117" s="8"/>
      <c r="L117" s="2"/>
      <c r="M117" s="9"/>
      <c r="N117" s="8"/>
      <c r="O117" s="10">
        <f t="shared" si="3"/>
      </c>
      <c r="P117" s="4"/>
      <c r="Q117" s="5">
        <f t="shared" si="4"/>
      </c>
      <c r="R117" s="4"/>
      <c r="S117" s="5">
        <f>IF($B117="","",$B117&amp;"-"&amp;COUNTIFS($B$2:$B117,$B117))</f>
      </c>
      <c r="T117" s="5">
        <f t="shared" si="5"/>
        <v>0</v>
      </c>
    </row>
    <row r="118" ht="27.75" customHeight="1" spans="1:20" x14ac:dyDescent="0.25">
      <c r="A118" s="2"/>
      <c r="B118" s="2"/>
      <c r="C118" s="7">
        <f>IF($B118="","",IFERROR(INDEX('Meetings (MOM)'!$B$2:$B$201,MATCH($B118,'Meetings (MOM)'!$A$2:$A$201,0)),""))</f>
      </c>
      <c r="D118" s="5">
        <f>IF($B118="","",IFERROR(INDEX('Meetings (MOM)'!$C$2:$C$201,MATCH($B118,'Meetings (MOM)'!$A$2:$A$201,0)),""))</f>
      </c>
      <c r="E118" s="4"/>
      <c r="F118" s="2"/>
      <c r="G118" s="2"/>
      <c r="H118" s="2"/>
      <c r="I118" s="8"/>
      <c r="J118" s="8"/>
      <c r="K118" s="8"/>
      <c r="L118" s="2"/>
      <c r="M118" s="9"/>
      <c r="N118" s="8"/>
      <c r="O118" s="10">
        <f t="shared" si="3"/>
      </c>
      <c r="P118" s="4"/>
      <c r="Q118" s="5">
        <f t="shared" si="4"/>
      </c>
      <c r="R118" s="4"/>
      <c r="S118" s="5">
        <f>IF($B118="","",$B118&amp;"-"&amp;COUNTIFS($B$2:$B118,$B118))</f>
      </c>
      <c r="T118" s="5">
        <f t="shared" si="5"/>
        <v>0</v>
      </c>
    </row>
    <row r="119" ht="27.75" customHeight="1" spans="1:20" x14ac:dyDescent="0.25">
      <c r="A119" s="2"/>
      <c r="B119" s="2"/>
      <c r="C119" s="7">
        <f>IF($B119="","",IFERROR(INDEX('Meetings (MOM)'!$B$2:$B$201,MATCH($B119,'Meetings (MOM)'!$A$2:$A$201,0)),""))</f>
      </c>
      <c r="D119" s="5">
        <f>IF($B119="","",IFERROR(INDEX('Meetings (MOM)'!$C$2:$C$201,MATCH($B119,'Meetings (MOM)'!$A$2:$A$201,0)),""))</f>
      </c>
      <c r="E119" s="4"/>
      <c r="F119" s="2"/>
      <c r="G119" s="2"/>
      <c r="H119" s="2"/>
      <c r="I119" s="8"/>
      <c r="J119" s="8"/>
      <c r="K119" s="8"/>
      <c r="L119" s="2"/>
      <c r="M119" s="9"/>
      <c r="N119" s="8"/>
      <c r="O119" s="10">
        <f t="shared" si="3"/>
      </c>
      <c r="P119" s="4"/>
      <c r="Q119" s="5">
        <f t="shared" si="4"/>
      </c>
      <c r="R119" s="4"/>
      <c r="S119" s="5">
        <f>IF($B119="","",$B119&amp;"-"&amp;COUNTIFS($B$2:$B119,$B119))</f>
      </c>
      <c r="T119" s="5">
        <f t="shared" si="5"/>
        <v>0</v>
      </c>
    </row>
    <row r="120" ht="27.75" customHeight="1" spans="1:20" x14ac:dyDescent="0.25">
      <c r="A120" s="2"/>
      <c r="B120" s="2"/>
      <c r="C120" s="7">
        <f>IF($B120="","",IFERROR(INDEX('Meetings (MOM)'!$B$2:$B$201,MATCH($B120,'Meetings (MOM)'!$A$2:$A$201,0)),""))</f>
      </c>
      <c r="D120" s="5">
        <f>IF($B120="","",IFERROR(INDEX('Meetings (MOM)'!$C$2:$C$201,MATCH($B120,'Meetings (MOM)'!$A$2:$A$201,0)),""))</f>
      </c>
      <c r="E120" s="4"/>
      <c r="F120" s="2"/>
      <c r="G120" s="2"/>
      <c r="H120" s="2"/>
      <c r="I120" s="8"/>
      <c r="J120" s="8"/>
      <c r="K120" s="8"/>
      <c r="L120" s="2"/>
      <c r="M120" s="9"/>
      <c r="N120" s="8"/>
      <c r="O120" s="10">
        <f t="shared" si="3"/>
      </c>
      <c r="P120" s="4"/>
      <c r="Q120" s="5">
        <f t="shared" si="4"/>
      </c>
      <c r="R120" s="4"/>
      <c r="S120" s="5">
        <f>IF($B120="","",$B120&amp;"-"&amp;COUNTIFS($B$2:$B120,$B120))</f>
      </c>
      <c r="T120" s="5">
        <f t="shared" si="5"/>
        <v>0</v>
      </c>
    </row>
    <row r="121" ht="27.75" customHeight="1" spans="1:20" x14ac:dyDescent="0.25">
      <c r="A121" s="2"/>
      <c r="B121" s="2"/>
      <c r="C121" s="7">
        <f>IF($B121="","",IFERROR(INDEX('Meetings (MOM)'!$B$2:$B$201,MATCH($B121,'Meetings (MOM)'!$A$2:$A$201,0)),""))</f>
      </c>
      <c r="D121" s="5">
        <f>IF($B121="","",IFERROR(INDEX('Meetings (MOM)'!$C$2:$C$201,MATCH($B121,'Meetings (MOM)'!$A$2:$A$201,0)),""))</f>
      </c>
      <c r="E121" s="4"/>
      <c r="F121" s="2"/>
      <c r="G121" s="2"/>
      <c r="H121" s="2"/>
      <c r="I121" s="8"/>
      <c r="J121" s="8"/>
      <c r="K121" s="8"/>
      <c r="L121" s="2"/>
      <c r="M121" s="9"/>
      <c r="N121" s="8"/>
      <c r="O121" s="10">
        <f t="shared" si="3"/>
      </c>
      <c r="P121" s="4"/>
      <c r="Q121" s="5">
        <f t="shared" si="4"/>
      </c>
      <c r="R121" s="4"/>
      <c r="S121" s="5">
        <f>IF($B121="","",$B121&amp;"-"&amp;COUNTIFS($B$2:$B121,$B121))</f>
      </c>
      <c r="T121" s="5">
        <f t="shared" si="5"/>
        <v>0</v>
      </c>
    </row>
    <row r="122" ht="27.75" customHeight="1" spans="1:20" x14ac:dyDescent="0.25">
      <c r="A122" s="2"/>
      <c r="B122" s="2"/>
      <c r="C122" s="7">
        <f>IF($B122="","",IFERROR(INDEX('Meetings (MOM)'!$B$2:$B$201,MATCH($B122,'Meetings (MOM)'!$A$2:$A$201,0)),""))</f>
      </c>
      <c r="D122" s="5">
        <f>IF($B122="","",IFERROR(INDEX('Meetings (MOM)'!$C$2:$C$201,MATCH($B122,'Meetings (MOM)'!$A$2:$A$201,0)),""))</f>
      </c>
      <c r="E122" s="4"/>
      <c r="F122" s="2"/>
      <c r="G122" s="2"/>
      <c r="H122" s="2"/>
      <c r="I122" s="8"/>
      <c r="J122" s="8"/>
      <c r="K122" s="8"/>
      <c r="L122" s="2"/>
      <c r="M122" s="9"/>
      <c r="N122" s="8"/>
      <c r="O122" s="10">
        <f t="shared" si="3"/>
      </c>
      <c r="P122" s="4"/>
      <c r="Q122" s="5">
        <f t="shared" si="4"/>
      </c>
      <c r="R122" s="4"/>
      <c r="S122" s="5">
        <f>IF($B122="","",$B122&amp;"-"&amp;COUNTIFS($B$2:$B122,$B122))</f>
      </c>
      <c r="T122" s="5">
        <f t="shared" si="5"/>
        <v>0</v>
      </c>
    </row>
    <row r="123" ht="27.75" customHeight="1" spans="1:20" x14ac:dyDescent="0.25">
      <c r="A123" s="2"/>
      <c r="B123" s="2"/>
      <c r="C123" s="7">
        <f>IF($B123="","",IFERROR(INDEX('Meetings (MOM)'!$B$2:$B$201,MATCH($B123,'Meetings (MOM)'!$A$2:$A$201,0)),""))</f>
      </c>
      <c r="D123" s="5">
        <f>IF($B123="","",IFERROR(INDEX('Meetings (MOM)'!$C$2:$C$201,MATCH($B123,'Meetings (MOM)'!$A$2:$A$201,0)),""))</f>
      </c>
      <c r="E123" s="4"/>
      <c r="F123" s="2"/>
      <c r="G123" s="2"/>
      <c r="H123" s="2"/>
      <c r="I123" s="8"/>
      <c r="J123" s="8"/>
      <c r="K123" s="8"/>
      <c r="L123" s="2"/>
      <c r="M123" s="9"/>
      <c r="N123" s="8"/>
      <c r="O123" s="10">
        <f t="shared" si="3"/>
      </c>
      <c r="P123" s="4"/>
      <c r="Q123" s="5">
        <f t="shared" si="4"/>
      </c>
      <c r="R123" s="4"/>
      <c r="S123" s="5">
        <f>IF($B123="","",$B123&amp;"-"&amp;COUNTIFS($B$2:$B123,$B123))</f>
      </c>
      <c r="T123" s="5">
        <f t="shared" si="5"/>
        <v>0</v>
      </c>
    </row>
    <row r="124" ht="27.75" customHeight="1" spans="1:20" x14ac:dyDescent="0.25">
      <c r="A124" s="2"/>
      <c r="B124" s="2"/>
      <c r="C124" s="7">
        <f>IF($B124="","",IFERROR(INDEX('Meetings (MOM)'!$B$2:$B$201,MATCH($B124,'Meetings (MOM)'!$A$2:$A$201,0)),""))</f>
      </c>
      <c r="D124" s="5">
        <f>IF($B124="","",IFERROR(INDEX('Meetings (MOM)'!$C$2:$C$201,MATCH($B124,'Meetings (MOM)'!$A$2:$A$201,0)),""))</f>
      </c>
      <c r="E124" s="4"/>
      <c r="F124" s="2"/>
      <c r="G124" s="2"/>
      <c r="H124" s="2"/>
      <c r="I124" s="8"/>
      <c r="J124" s="8"/>
      <c r="K124" s="8"/>
      <c r="L124" s="2"/>
      <c r="M124" s="9"/>
      <c r="N124" s="8"/>
      <c r="O124" s="10">
        <f t="shared" si="3"/>
      </c>
      <c r="P124" s="4"/>
      <c r="Q124" s="5">
        <f t="shared" si="4"/>
      </c>
      <c r="R124" s="4"/>
      <c r="S124" s="5">
        <f>IF($B124="","",$B124&amp;"-"&amp;COUNTIFS($B$2:$B124,$B124))</f>
      </c>
      <c r="T124" s="5">
        <f t="shared" si="5"/>
        <v>0</v>
      </c>
    </row>
    <row r="125" ht="27.75" customHeight="1" spans="1:20" x14ac:dyDescent="0.25">
      <c r="A125" s="2"/>
      <c r="B125" s="2"/>
      <c r="C125" s="7">
        <f>IF($B125="","",IFERROR(INDEX('Meetings (MOM)'!$B$2:$B$201,MATCH($B125,'Meetings (MOM)'!$A$2:$A$201,0)),""))</f>
      </c>
      <c r="D125" s="5">
        <f>IF($B125="","",IFERROR(INDEX('Meetings (MOM)'!$C$2:$C$201,MATCH($B125,'Meetings (MOM)'!$A$2:$A$201,0)),""))</f>
      </c>
      <c r="E125" s="4"/>
      <c r="F125" s="2"/>
      <c r="G125" s="2"/>
      <c r="H125" s="2"/>
      <c r="I125" s="8"/>
      <c r="J125" s="8"/>
      <c r="K125" s="8"/>
      <c r="L125" s="2"/>
      <c r="M125" s="9"/>
      <c r="N125" s="8"/>
      <c r="O125" s="10">
        <f t="shared" si="3"/>
      </c>
      <c r="P125" s="4"/>
      <c r="Q125" s="5">
        <f t="shared" si="4"/>
      </c>
      <c r="R125" s="4"/>
      <c r="S125" s="5">
        <f>IF($B125="","",$B125&amp;"-"&amp;COUNTIFS($B$2:$B125,$B125))</f>
      </c>
      <c r="T125" s="5">
        <f t="shared" si="5"/>
        <v>0</v>
      </c>
    </row>
    <row r="126" ht="27.75" customHeight="1" spans="1:20" x14ac:dyDescent="0.25">
      <c r="A126" s="2"/>
      <c r="B126" s="2"/>
      <c r="C126" s="7">
        <f>IF($B126="","",IFERROR(INDEX('Meetings (MOM)'!$B$2:$B$201,MATCH($B126,'Meetings (MOM)'!$A$2:$A$201,0)),""))</f>
      </c>
      <c r="D126" s="5">
        <f>IF($B126="","",IFERROR(INDEX('Meetings (MOM)'!$C$2:$C$201,MATCH($B126,'Meetings (MOM)'!$A$2:$A$201,0)),""))</f>
      </c>
      <c r="E126" s="4"/>
      <c r="F126" s="2"/>
      <c r="G126" s="2"/>
      <c r="H126" s="2"/>
      <c r="I126" s="8"/>
      <c r="J126" s="8"/>
      <c r="K126" s="8"/>
      <c r="L126" s="2"/>
      <c r="M126" s="9"/>
      <c r="N126" s="8"/>
      <c r="O126" s="10">
        <f t="shared" si="3"/>
      </c>
      <c r="P126" s="4"/>
      <c r="Q126" s="5">
        <f t="shared" si="4"/>
      </c>
      <c r="R126" s="4"/>
      <c r="S126" s="5">
        <f>IF($B126="","",$B126&amp;"-"&amp;COUNTIFS($B$2:$B126,$B126))</f>
      </c>
      <c r="T126" s="5">
        <f t="shared" si="5"/>
        <v>0</v>
      </c>
    </row>
    <row r="127" ht="27.75" customHeight="1" spans="1:20" x14ac:dyDescent="0.25">
      <c r="A127" s="2"/>
      <c r="B127" s="2"/>
      <c r="C127" s="7">
        <f>IF($B127="","",IFERROR(INDEX('Meetings (MOM)'!$B$2:$B$201,MATCH($B127,'Meetings (MOM)'!$A$2:$A$201,0)),""))</f>
      </c>
      <c r="D127" s="5">
        <f>IF($B127="","",IFERROR(INDEX('Meetings (MOM)'!$C$2:$C$201,MATCH($B127,'Meetings (MOM)'!$A$2:$A$201,0)),""))</f>
      </c>
      <c r="E127" s="4"/>
      <c r="F127" s="2"/>
      <c r="G127" s="2"/>
      <c r="H127" s="2"/>
      <c r="I127" s="8"/>
      <c r="J127" s="8"/>
      <c r="K127" s="8"/>
      <c r="L127" s="2"/>
      <c r="M127" s="9"/>
      <c r="N127" s="8"/>
      <c r="O127" s="10">
        <f t="shared" si="3"/>
      </c>
      <c r="P127" s="4"/>
      <c r="Q127" s="5">
        <f t="shared" si="4"/>
      </c>
      <c r="R127" s="4"/>
      <c r="S127" s="5">
        <f>IF($B127="","",$B127&amp;"-"&amp;COUNTIFS($B$2:$B127,$B127))</f>
      </c>
      <c r="T127" s="5">
        <f t="shared" si="5"/>
        <v>0</v>
      </c>
    </row>
    <row r="128" ht="27.75" customHeight="1" spans="1:20" x14ac:dyDescent="0.25">
      <c r="A128" s="2"/>
      <c r="B128" s="2"/>
      <c r="C128" s="7">
        <f>IF($B128="","",IFERROR(INDEX('Meetings (MOM)'!$B$2:$B$201,MATCH($B128,'Meetings (MOM)'!$A$2:$A$201,0)),""))</f>
      </c>
      <c r="D128" s="5">
        <f>IF($B128="","",IFERROR(INDEX('Meetings (MOM)'!$C$2:$C$201,MATCH($B128,'Meetings (MOM)'!$A$2:$A$201,0)),""))</f>
      </c>
      <c r="E128" s="4"/>
      <c r="F128" s="2"/>
      <c r="G128" s="2"/>
      <c r="H128" s="2"/>
      <c r="I128" s="8"/>
      <c r="J128" s="8"/>
      <c r="K128" s="8"/>
      <c r="L128" s="2"/>
      <c r="M128" s="9"/>
      <c r="N128" s="8"/>
      <c r="O128" s="10">
        <f t="shared" si="3"/>
      </c>
      <c r="P128" s="4"/>
      <c r="Q128" s="5">
        <f t="shared" si="4"/>
      </c>
      <c r="R128" s="4"/>
      <c r="S128" s="5">
        <f>IF($B128="","",$B128&amp;"-"&amp;COUNTIFS($B$2:$B128,$B128))</f>
      </c>
      <c r="T128" s="5">
        <f t="shared" si="5"/>
        <v>0</v>
      </c>
    </row>
    <row r="129" ht="27.75" customHeight="1" spans="1:20" x14ac:dyDescent="0.25">
      <c r="A129" s="2"/>
      <c r="B129" s="2"/>
      <c r="C129" s="7">
        <f>IF($B129="","",IFERROR(INDEX('Meetings (MOM)'!$B$2:$B$201,MATCH($B129,'Meetings (MOM)'!$A$2:$A$201,0)),""))</f>
      </c>
      <c r="D129" s="5">
        <f>IF($B129="","",IFERROR(INDEX('Meetings (MOM)'!$C$2:$C$201,MATCH($B129,'Meetings (MOM)'!$A$2:$A$201,0)),""))</f>
      </c>
      <c r="E129" s="4"/>
      <c r="F129" s="2"/>
      <c r="G129" s="2"/>
      <c r="H129" s="2"/>
      <c r="I129" s="8"/>
      <c r="J129" s="8"/>
      <c r="K129" s="8"/>
      <c r="L129" s="2"/>
      <c r="M129" s="9"/>
      <c r="N129" s="8"/>
      <c r="O129" s="10">
        <f t="shared" si="3"/>
      </c>
      <c r="P129" s="4"/>
      <c r="Q129" s="5">
        <f t="shared" si="4"/>
      </c>
      <c r="R129" s="4"/>
      <c r="S129" s="5">
        <f>IF($B129="","",$B129&amp;"-"&amp;COUNTIFS($B$2:$B129,$B129))</f>
      </c>
      <c r="T129" s="5">
        <f t="shared" si="5"/>
        <v>0</v>
      </c>
    </row>
    <row r="130" ht="27.75" customHeight="1" spans="1:20" x14ac:dyDescent="0.25">
      <c r="A130" s="2"/>
      <c r="B130" s="2"/>
      <c r="C130" s="7">
        <f>IF($B130="","",IFERROR(INDEX('Meetings (MOM)'!$B$2:$B$201,MATCH($B130,'Meetings (MOM)'!$A$2:$A$201,0)),""))</f>
      </c>
      <c r="D130" s="5">
        <f>IF($B130="","",IFERROR(INDEX('Meetings (MOM)'!$C$2:$C$201,MATCH($B130,'Meetings (MOM)'!$A$2:$A$201,0)),""))</f>
      </c>
      <c r="E130" s="4"/>
      <c r="F130" s="2"/>
      <c r="G130" s="2"/>
      <c r="H130" s="2"/>
      <c r="I130" s="8"/>
      <c r="J130" s="8"/>
      <c r="K130" s="8"/>
      <c r="L130" s="2"/>
      <c r="M130" s="9"/>
      <c r="N130" s="8"/>
      <c r="O130" s="10">
        <f t="shared" ref="O130:O193" si="6">IF(OR($A130="",IF($K130="",$J130,$K130)=""),"",IF($L130="Completed",IF($N130="","",$N130-IF($K130="",$J130,$K130)),IF($L130="Cancelled","",TODAY()-IF($K130="",$J130,$K130))))</f>
      </c>
      <c r="P130" s="4"/>
      <c r="Q130" s="5">
        <f t="shared" ref="Q130:Q193" si="7">IF($A130="","",IF(OR($L130="Completed",$L130="Cancelled"),"Closed",IF(IF($K130="",$J130,$K130)="","Set deadline",IF(TODAY()&gt;IF($K130="",$J130,$K130),"OVERDUE - Escalate",IF(IF($K130="",$J130,$K130)-TODAY()&lt;=3,"Send Reminder","On Track")))))</f>
      </c>
      <c r="R130" s="4"/>
      <c r="S130" s="5">
        <f>IF($B130="","",$B130&amp;"-"&amp;COUNTIFS($B$2:$B130,$B130))</f>
      </c>
      <c r="T130" s="5">
        <f t="shared" ref="T130:T193" si="8">IF($A130="",0,IF(OR($L130="Completed",$L130="Cancelled"),0,IF(IF($K130="",$J130,$K130)="",0,IF(TODAY()&gt;IF($K130="",$J130,$K130),1,0))))</f>
        <v>0</v>
      </c>
    </row>
    <row r="131" ht="27.75" customHeight="1" spans="1:20" x14ac:dyDescent="0.25">
      <c r="A131" s="2"/>
      <c r="B131" s="2"/>
      <c r="C131" s="7">
        <f>IF($B131="","",IFERROR(INDEX('Meetings (MOM)'!$B$2:$B$201,MATCH($B131,'Meetings (MOM)'!$A$2:$A$201,0)),""))</f>
      </c>
      <c r="D131" s="5">
        <f>IF($B131="","",IFERROR(INDEX('Meetings (MOM)'!$C$2:$C$201,MATCH($B131,'Meetings (MOM)'!$A$2:$A$201,0)),""))</f>
      </c>
      <c r="E131" s="4"/>
      <c r="F131" s="2"/>
      <c r="G131" s="2"/>
      <c r="H131" s="2"/>
      <c r="I131" s="8"/>
      <c r="J131" s="8"/>
      <c r="K131" s="8"/>
      <c r="L131" s="2"/>
      <c r="M131" s="9"/>
      <c r="N131" s="8"/>
      <c r="O131" s="10">
        <f t="shared" si="6"/>
      </c>
      <c r="P131" s="4"/>
      <c r="Q131" s="5">
        <f t="shared" si="7"/>
      </c>
      <c r="R131" s="4"/>
      <c r="S131" s="5">
        <f>IF($B131="","",$B131&amp;"-"&amp;COUNTIFS($B$2:$B131,$B131))</f>
      </c>
      <c r="T131" s="5">
        <f t="shared" si="8"/>
        <v>0</v>
      </c>
    </row>
    <row r="132" ht="27.75" customHeight="1" spans="1:20" x14ac:dyDescent="0.25">
      <c r="A132" s="2"/>
      <c r="B132" s="2"/>
      <c r="C132" s="7">
        <f>IF($B132="","",IFERROR(INDEX('Meetings (MOM)'!$B$2:$B$201,MATCH($B132,'Meetings (MOM)'!$A$2:$A$201,0)),""))</f>
      </c>
      <c r="D132" s="5">
        <f>IF($B132="","",IFERROR(INDEX('Meetings (MOM)'!$C$2:$C$201,MATCH($B132,'Meetings (MOM)'!$A$2:$A$201,0)),""))</f>
      </c>
      <c r="E132" s="4"/>
      <c r="F132" s="2"/>
      <c r="G132" s="2"/>
      <c r="H132" s="2"/>
      <c r="I132" s="8"/>
      <c r="J132" s="8"/>
      <c r="K132" s="8"/>
      <c r="L132" s="2"/>
      <c r="M132" s="9"/>
      <c r="N132" s="8"/>
      <c r="O132" s="10">
        <f t="shared" si="6"/>
      </c>
      <c r="P132" s="4"/>
      <c r="Q132" s="5">
        <f t="shared" si="7"/>
      </c>
      <c r="R132" s="4"/>
      <c r="S132" s="5">
        <f>IF($B132="","",$B132&amp;"-"&amp;COUNTIFS($B$2:$B132,$B132))</f>
      </c>
      <c r="T132" s="5">
        <f t="shared" si="8"/>
        <v>0</v>
      </c>
    </row>
    <row r="133" ht="27.75" customHeight="1" spans="1:20" x14ac:dyDescent="0.25">
      <c r="A133" s="2"/>
      <c r="B133" s="2"/>
      <c r="C133" s="7">
        <f>IF($B133="","",IFERROR(INDEX('Meetings (MOM)'!$B$2:$B$201,MATCH($B133,'Meetings (MOM)'!$A$2:$A$201,0)),""))</f>
      </c>
      <c r="D133" s="5">
        <f>IF($B133="","",IFERROR(INDEX('Meetings (MOM)'!$C$2:$C$201,MATCH($B133,'Meetings (MOM)'!$A$2:$A$201,0)),""))</f>
      </c>
      <c r="E133" s="4"/>
      <c r="F133" s="2"/>
      <c r="G133" s="2"/>
      <c r="H133" s="2"/>
      <c r="I133" s="8"/>
      <c r="J133" s="8"/>
      <c r="K133" s="8"/>
      <c r="L133" s="2"/>
      <c r="M133" s="9"/>
      <c r="N133" s="8"/>
      <c r="O133" s="10">
        <f t="shared" si="6"/>
      </c>
      <c r="P133" s="4"/>
      <c r="Q133" s="5">
        <f t="shared" si="7"/>
      </c>
      <c r="R133" s="4"/>
      <c r="S133" s="5">
        <f>IF($B133="","",$B133&amp;"-"&amp;COUNTIFS($B$2:$B133,$B133))</f>
      </c>
      <c r="T133" s="5">
        <f t="shared" si="8"/>
        <v>0</v>
      </c>
    </row>
    <row r="134" ht="27.75" customHeight="1" spans="1:20" x14ac:dyDescent="0.25">
      <c r="A134" s="2"/>
      <c r="B134" s="2"/>
      <c r="C134" s="7">
        <f>IF($B134="","",IFERROR(INDEX('Meetings (MOM)'!$B$2:$B$201,MATCH($B134,'Meetings (MOM)'!$A$2:$A$201,0)),""))</f>
      </c>
      <c r="D134" s="5">
        <f>IF($B134="","",IFERROR(INDEX('Meetings (MOM)'!$C$2:$C$201,MATCH($B134,'Meetings (MOM)'!$A$2:$A$201,0)),""))</f>
      </c>
      <c r="E134" s="4"/>
      <c r="F134" s="2"/>
      <c r="G134" s="2"/>
      <c r="H134" s="2"/>
      <c r="I134" s="8"/>
      <c r="J134" s="8"/>
      <c r="K134" s="8"/>
      <c r="L134" s="2"/>
      <c r="M134" s="9"/>
      <c r="N134" s="8"/>
      <c r="O134" s="10">
        <f t="shared" si="6"/>
      </c>
      <c r="P134" s="4"/>
      <c r="Q134" s="5">
        <f t="shared" si="7"/>
      </c>
      <c r="R134" s="4"/>
      <c r="S134" s="5">
        <f>IF($B134="","",$B134&amp;"-"&amp;COUNTIFS($B$2:$B134,$B134))</f>
      </c>
      <c r="T134" s="5">
        <f t="shared" si="8"/>
        <v>0</v>
      </c>
    </row>
    <row r="135" ht="27.75" customHeight="1" spans="1:20" x14ac:dyDescent="0.25">
      <c r="A135" s="2"/>
      <c r="B135" s="2"/>
      <c r="C135" s="7">
        <f>IF($B135="","",IFERROR(INDEX('Meetings (MOM)'!$B$2:$B$201,MATCH($B135,'Meetings (MOM)'!$A$2:$A$201,0)),""))</f>
      </c>
      <c r="D135" s="5">
        <f>IF($B135="","",IFERROR(INDEX('Meetings (MOM)'!$C$2:$C$201,MATCH($B135,'Meetings (MOM)'!$A$2:$A$201,0)),""))</f>
      </c>
      <c r="E135" s="4"/>
      <c r="F135" s="2"/>
      <c r="G135" s="2"/>
      <c r="H135" s="2"/>
      <c r="I135" s="8"/>
      <c r="J135" s="8"/>
      <c r="K135" s="8"/>
      <c r="L135" s="2"/>
      <c r="M135" s="9"/>
      <c r="N135" s="8"/>
      <c r="O135" s="10">
        <f t="shared" si="6"/>
      </c>
      <c r="P135" s="4"/>
      <c r="Q135" s="5">
        <f t="shared" si="7"/>
      </c>
      <c r="R135" s="4"/>
      <c r="S135" s="5">
        <f>IF($B135="","",$B135&amp;"-"&amp;COUNTIFS($B$2:$B135,$B135))</f>
      </c>
      <c r="T135" s="5">
        <f t="shared" si="8"/>
        <v>0</v>
      </c>
    </row>
    <row r="136" ht="27.75" customHeight="1" spans="1:20" x14ac:dyDescent="0.25">
      <c r="A136" s="2"/>
      <c r="B136" s="2"/>
      <c r="C136" s="7">
        <f>IF($B136="","",IFERROR(INDEX('Meetings (MOM)'!$B$2:$B$201,MATCH($B136,'Meetings (MOM)'!$A$2:$A$201,0)),""))</f>
      </c>
      <c r="D136" s="5">
        <f>IF($B136="","",IFERROR(INDEX('Meetings (MOM)'!$C$2:$C$201,MATCH($B136,'Meetings (MOM)'!$A$2:$A$201,0)),""))</f>
      </c>
      <c r="E136" s="4"/>
      <c r="F136" s="2"/>
      <c r="G136" s="2"/>
      <c r="H136" s="2"/>
      <c r="I136" s="8"/>
      <c r="J136" s="8"/>
      <c r="K136" s="8"/>
      <c r="L136" s="2"/>
      <c r="M136" s="9"/>
      <c r="N136" s="8"/>
      <c r="O136" s="10">
        <f t="shared" si="6"/>
      </c>
      <c r="P136" s="4"/>
      <c r="Q136" s="5">
        <f t="shared" si="7"/>
      </c>
      <c r="R136" s="4"/>
      <c r="S136" s="5">
        <f>IF($B136="","",$B136&amp;"-"&amp;COUNTIFS($B$2:$B136,$B136))</f>
      </c>
      <c r="T136" s="5">
        <f t="shared" si="8"/>
        <v>0</v>
      </c>
    </row>
    <row r="137" ht="27.75" customHeight="1" spans="1:20" x14ac:dyDescent="0.25">
      <c r="A137" s="2"/>
      <c r="B137" s="2"/>
      <c r="C137" s="7">
        <f>IF($B137="","",IFERROR(INDEX('Meetings (MOM)'!$B$2:$B$201,MATCH($B137,'Meetings (MOM)'!$A$2:$A$201,0)),""))</f>
      </c>
      <c r="D137" s="5">
        <f>IF($B137="","",IFERROR(INDEX('Meetings (MOM)'!$C$2:$C$201,MATCH($B137,'Meetings (MOM)'!$A$2:$A$201,0)),""))</f>
      </c>
      <c r="E137" s="4"/>
      <c r="F137" s="2"/>
      <c r="G137" s="2"/>
      <c r="H137" s="2"/>
      <c r="I137" s="8"/>
      <c r="J137" s="8"/>
      <c r="K137" s="8"/>
      <c r="L137" s="2"/>
      <c r="M137" s="9"/>
      <c r="N137" s="8"/>
      <c r="O137" s="10">
        <f t="shared" si="6"/>
      </c>
      <c r="P137" s="4"/>
      <c r="Q137" s="5">
        <f t="shared" si="7"/>
      </c>
      <c r="R137" s="4"/>
      <c r="S137" s="5">
        <f>IF($B137="","",$B137&amp;"-"&amp;COUNTIFS($B$2:$B137,$B137))</f>
      </c>
      <c r="T137" s="5">
        <f t="shared" si="8"/>
        <v>0</v>
      </c>
    </row>
    <row r="138" ht="27.75" customHeight="1" spans="1:20" x14ac:dyDescent="0.25">
      <c r="A138" s="2"/>
      <c r="B138" s="2"/>
      <c r="C138" s="7">
        <f>IF($B138="","",IFERROR(INDEX('Meetings (MOM)'!$B$2:$B$201,MATCH($B138,'Meetings (MOM)'!$A$2:$A$201,0)),""))</f>
      </c>
      <c r="D138" s="5">
        <f>IF($B138="","",IFERROR(INDEX('Meetings (MOM)'!$C$2:$C$201,MATCH($B138,'Meetings (MOM)'!$A$2:$A$201,0)),""))</f>
      </c>
      <c r="E138" s="4"/>
      <c r="F138" s="2"/>
      <c r="G138" s="2"/>
      <c r="H138" s="2"/>
      <c r="I138" s="8"/>
      <c r="J138" s="8"/>
      <c r="K138" s="8"/>
      <c r="L138" s="2"/>
      <c r="M138" s="9"/>
      <c r="N138" s="8"/>
      <c r="O138" s="10">
        <f t="shared" si="6"/>
      </c>
      <c r="P138" s="4"/>
      <c r="Q138" s="5">
        <f t="shared" si="7"/>
      </c>
      <c r="R138" s="4"/>
      <c r="S138" s="5">
        <f>IF($B138="","",$B138&amp;"-"&amp;COUNTIFS($B$2:$B138,$B138))</f>
      </c>
      <c r="T138" s="5">
        <f t="shared" si="8"/>
        <v>0</v>
      </c>
    </row>
    <row r="139" ht="27.75" customHeight="1" spans="1:20" x14ac:dyDescent="0.25">
      <c r="A139" s="2"/>
      <c r="B139" s="2"/>
      <c r="C139" s="7">
        <f>IF($B139="","",IFERROR(INDEX('Meetings (MOM)'!$B$2:$B$201,MATCH($B139,'Meetings (MOM)'!$A$2:$A$201,0)),""))</f>
      </c>
      <c r="D139" s="5">
        <f>IF($B139="","",IFERROR(INDEX('Meetings (MOM)'!$C$2:$C$201,MATCH($B139,'Meetings (MOM)'!$A$2:$A$201,0)),""))</f>
      </c>
      <c r="E139" s="4"/>
      <c r="F139" s="2"/>
      <c r="G139" s="2"/>
      <c r="H139" s="2"/>
      <c r="I139" s="8"/>
      <c r="J139" s="8"/>
      <c r="K139" s="8"/>
      <c r="L139" s="2"/>
      <c r="M139" s="9"/>
      <c r="N139" s="8"/>
      <c r="O139" s="10">
        <f t="shared" si="6"/>
      </c>
      <c r="P139" s="4"/>
      <c r="Q139" s="5">
        <f t="shared" si="7"/>
      </c>
      <c r="R139" s="4"/>
      <c r="S139" s="5">
        <f>IF($B139="","",$B139&amp;"-"&amp;COUNTIFS($B$2:$B139,$B139))</f>
      </c>
      <c r="T139" s="5">
        <f t="shared" si="8"/>
        <v>0</v>
      </c>
    </row>
    <row r="140" ht="27.75" customHeight="1" spans="1:20" x14ac:dyDescent="0.25">
      <c r="A140" s="2"/>
      <c r="B140" s="2"/>
      <c r="C140" s="7">
        <f>IF($B140="","",IFERROR(INDEX('Meetings (MOM)'!$B$2:$B$201,MATCH($B140,'Meetings (MOM)'!$A$2:$A$201,0)),""))</f>
      </c>
      <c r="D140" s="5">
        <f>IF($B140="","",IFERROR(INDEX('Meetings (MOM)'!$C$2:$C$201,MATCH($B140,'Meetings (MOM)'!$A$2:$A$201,0)),""))</f>
      </c>
      <c r="E140" s="4"/>
      <c r="F140" s="2"/>
      <c r="G140" s="2"/>
      <c r="H140" s="2"/>
      <c r="I140" s="8"/>
      <c r="J140" s="8"/>
      <c r="K140" s="8"/>
      <c r="L140" s="2"/>
      <c r="M140" s="9"/>
      <c r="N140" s="8"/>
      <c r="O140" s="10">
        <f t="shared" si="6"/>
      </c>
      <c r="P140" s="4"/>
      <c r="Q140" s="5">
        <f t="shared" si="7"/>
      </c>
      <c r="R140" s="4"/>
      <c r="S140" s="5">
        <f>IF($B140="","",$B140&amp;"-"&amp;COUNTIFS($B$2:$B140,$B140))</f>
      </c>
      <c r="T140" s="5">
        <f t="shared" si="8"/>
        <v>0</v>
      </c>
    </row>
    <row r="141" ht="27.75" customHeight="1" spans="1:20" x14ac:dyDescent="0.25">
      <c r="A141" s="2"/>
      <c r="B141" s="2"/>
      <c r="C141" s="7">
        <f>IF($B141="","",IFERROR(INDEX('Meetings (MOM)'!$B$2:$B$201,MATCH($B141,'Meetings (MOM)'!$A$2:$A$201,0)),""))</f>
      </c>
      <c r="D141" s="5">
        <f>IF($B141="","",IFERROR(INDEX('Meetings (MOM)'!$C$2:$C$201,MATCH($B141,'Meetings (MOM)'!$A$2:$A$201,0)),""))</f>
      </c>
      <c r="E141" s="4"/>
      <c r="F141" s="2"/>
      <c r="G141" s="2"/>
      <c r="H141" s="2"/>
      <c r="I141" s="8"/>
      <c r="J141" s="8"/>
      <c r="K141" s="8"/>
      <c r="L141" s="2"/>
      <c r="M141" s="9"/>
      <c r="N141" s="8"/>
      <c r="O141" s="10">
        <f t="shared" si="6"/>
      </c>
      <c r="P141" s="4"/>
      <c r="Q141" s="5">
        <f t="shared" si="7"/>
      </c>
      <c r="R141" s="4"/>
      <c r="S141" s="5">
        <f>IF($B141="","",$B141&amp;"-"&amp;COUNTIFS($B$2:$B141,$B141))</f>
      </c>
      <c r="T141" s="5">
        <f t="shared" si="8"/>
        <v>0</v>
      </c>
    </row>
    <row r="142" ht="27.75" customHeight="1" spans="1:20" x14ac:dyDescent="0.25">
      <c r="A142" s="2"/>
      <c r="B142" s="2"/>
      <c r="C142" s="7">
        <f>IF($B142="","",IFERROR(INDEX('Meetings (MOM)'!$B$2:$B$201,MATCH($B142,'Meetings (MOM)'!$A$2:$A$201,0)),""))</f>
      </c>
      <c r="D142" s="5">
        <f>IF($B142="","",IFERROR(INDEX('Meetings (MOM)'!$C$2:$C$201,MATCH($B142,'Meetings (MOM)'!$A$2:$A$201,0)),""))</f>
      </c>
      <c r="E142" s="4"/>
      <c r="F142" s="2"/>
      <c r="G142" s="2"/>
      <c r="H142" s="2"/>
      <c r="I142" s="8"/>
      <c r="J142" s="8"/>
      <c r="K142" s="8"/>
      <c r="L142" s="2"/>
      <c r="M142" s="9"/>
      <c r="N142" s="8"/>
      <c r="O142" s="10">
        <f t="shared" si="6"/>
      </c>
      <c r="P142" s="4"/>
      <c r="Q142" s="5">
        <f t="shared" si="7"/>
      </c>
      <c r="R142" s="4"/>
      <c r="S142" s="5">
        <f>IF($B142="","",$B142&amp;"-"&amp;COUNTIFS($B$2:$B142,$B142))</f>
      </c>
      <c r="T142" s="5">
        <f t="shared" si="8"/>
        <v>0</v>
      </c>
    </row>
    <row r="143" ht="27.75" customHeight="1" spans="1:20" x14ac:dyDescent="0.25">
      <c r="A143" s="2"/>
      <c r="B143" s="2"/>
      <c r="C143" s="7">
        <f>IF($B143="","",IFERROR(INDEX('Meetings (MOM)'!$B$2:$B$201,MATCH($B143,'Meetings (MOM)'!$A$2:$A$201,0)),""))</f>
      </c>
      <c r="D143" s="5">
        <f>IF($B143="","",IFERROR(INDEX('Meetings (MOM)'!$C$2:$C$201,MATCH($B143,'Meetings (MOM)'!$A$2:$A$201,0)),""))</f>
      </c>
      <c r="E143" s="4"/>
      <c r="F143" s="2"/>
      <c r="G143" s="2"/>
      <c r="H143" s="2"/>
      <c r="I143" s="8"/>
      <c r="J143" s="8"/>
      <c r="K143" s="8"/>
      <c r="L143" s="2"/>
      <c r="M143" s="9"/>
      <c r="N143" s="8"/>
      <c r="O143" s="10">
        <f t="shared" si="6"/>
      </c>
      <c r="P143" s="4"/>
      <c r="Q143" s="5">
        <f t="shared" si="7"/>
      </c>
      <c r="R143" s="4"/>
      <c r="S143" s="5">
        <f>IF($B143="","",$B143&amp;"-"&amp;COUNTIFS($B$2:$B143,$B143))</f>
      </c>
      <c r="T143" s="5">
        <f t="shared" si="8"/>
        <v>0</v>
      </c>
    </row>
    <row r="144" ht="27.75" customHeight="1" spans="1:20" x14ac:dyDescent="0.25">
      <c r="A144" s="2"/>
      <c r="B144" s="2"/>
      <c r="C144" s="7">
        <f>IF($B144="","",IFERROR(INDEX('Meetings (MOM)'!$B$2:$B$201,MATCH($B144,'Meetings (MOM)'!$A$2:$A$201,0)),""))</f>
      </c>
      <c r="D144" s="5">
        <f>IF($B144="","",IFERROR(INDEX('Meetings (MOM)'!$C$2:$C$201,MATCH($B144,'Meetings (MOM)'!$A$2:$A$201,0)),""))</f>
      </c>
      <c r="E144" s="4"/>
      <c r="F144" s="2"/>
      <c r="G144" s="2"/>
      <c r="H144" s="2"/>
      <c r="I144" s="8"/>
      <c r="J144" s="8"/>
      <c r="K144" s="8"/>
      <c r="L144" s="2"/>
      <c r="M144" s="9"/>
      <c r="N144" s="8"/>
      <c r="O144" s="10">
        <f t="shared" si="6"/>
      </c>
      <c r="P144" s="4"/>
      <c r="Q144" s="5">
        <f t="shared" si="7"/>
      </c>
      <c r="R144" s="4"/>
      <c r="S144" s="5">
        <f>IF($B144="","",$B144&amp;"-"&amp;COUNTIFS($B$2:$B144,$B144))</f>
      </c>
      <c r="T144" s="5">
        <f t="shared" si="8"/>
        <v>0</v>
      </c>
    </row>
    <row r="145" ht="27.75" customHeight="1" spans="1:20" x14ac:dyDescent="0.25">
      <c r="A145" s="2"/>
      <c r="B145" s="2"/>
      <c r="C145" s="7">
        <f>IF($B145="","",IFERROR(INDEX('Meetings (MOM)'!$B$2:$B$201,MATCH($B145,'Meetings (MOM)'!$A$2:$A$201,0)),""))</f>
      </c>
      <c r="D145" s="5">
        <f>IF($B145="","",IFERROR(INDEX('Meetings (MOM)'!$C$2:$C$201,MATCH($B145,'Meetings (MOM)'!$A$2:$A$201,0)),""))</f>
      </c>
      <c r="E145" s="4"/>
      <c r="F145" s="2"/>
      <c r="G145" s="2"/>
      <c r="H145" s="2"/>
      <c r="I145" s="8"/>
      <c r="J145" s="8"/>
      <c r="K145" s="8"/>
      <c r="L145" s="2"/>
      <c r="M145" s="9"/>
      <c r="N145" s="8"/>
      <c r="O145" s="10">
        <f t="shared" si="6"/>
      </c>
      <c r="P145" s="4"/>
      <c r="Q145" s="5">
        <f t="shared" si="7"/>
      </c>
      <c r="R145" s="4"/>
      <c r="S145" s="5">
        <f>IF($B145="","",$B145&amp;"-"&amp;COUNTIFS($B$2:$B145,$B145))</f>
      </c>
      <c r="T145" s="5">
        <f t="shared" si="8"/>
        <v>0</v>
      </c>
    </row>
    <row r="146" ht="27.75" customHeight="1" spans="1:20" x14ac:dyDescent="0.25">
      <c r="A146" s="2"/>
      <c r="B146" s="2"/>
      <c r="C146" s="7">
        <f>IF($B146="","",IFERROR(INDEX('Meetings (MOM)'!$B$2:$B$201,MATCH($B146,'Meetings (MOM)'!$A$2:$A$201,0)),""))</f>
      </c>
      <c r="D146" s="5">
        <f>IF($B146="","",IFERROR(INDEX('Meetings (MOM)'!$C$2:$C$201,MATCH($B146,'Meetings (MOM)'!$A$2:$A$201,0)),""))</f>
      </c>
      <c r="E146" s="4"/>
      <c r="F146" s="2"/>
      <c r="G146" s="2"/>
      <c r="H146" s="2"/>
      <c r="I146" s="8"/>
      <c r="J146" s="8"/>
      <c r="K146" s="8"/>
      <c r="L146" s="2"/>
      <c r="M146" s="9"/>
      <c r="N146" s="8"/>
      <c r="O146" s="10">
        <f t="shared" si="6"/>
      </c>
      <c r="P146" s="4"/>
      <c r="Q146" s="5">
        <f t="shared" si="7"/>
      </c>
      <c r="R146" s="4"/>
      <c r="S146" s="5">
        <f>IF($B146="","",$B146&amp;"-"&amp;COUNTIFS($B$2:$B146,$B146))</f>
      </c>
      <c r="T146" s="5">
        <f t="shared" si="8"/>
        <v>0</v>
      </c>
    </row>
    <row r="147" ht="27.75" customHeight="1" spans="1:20" x14ac:dyDescent="0.25">
      <c r="A147" s="2"/>
      <c r="B147" s="2"/>
      <c r="C147" s="7">
        <f>IF($B147="","",IFERROR(INDEX('Meetings (MOM)'!$B$2:$B$201,MATCH($B147,'Meetings (MOM)'!$A$2:$A$201,0)),""))</f>
      </c>
      <c r="D147" s="5">
        <f>IF($B147="","",IFERROR(INDEX('Meetings (MOM)'!$C$2:$C$201,MATCH($B147,'Meetings (MOM)'!$A$2:$A$201,0)),""))</f>
      </c>
      <c r="E147" s="4"/>
      <c r="F147" s="2"/>
      <c r="G147" s="2"/>
      <c r="H147" s="2"/>
      <c r="I147" s="8"/>
      <c r="J147" s="8"/>
      <c r="K147" s="8"/>
      <c r="L147" s="2"/>
      <c r="M147" s="9"/>
      <c r="N147" s="8"/>
      <c r="O147" s="10">
        <f t="shared" si="6"/>
      </c>
      <c r="P147" s="4"/>
      <c r="Q147" s="5">
        <f t="shared" si="7"/>
      </c>
      <c r="R147" s="4"/>
      <c r="S147" s="5">
        <f>IF($B147="","",$B147&amp;"-"&amp;COUNTIFS($B$2:$B147,$B147))</f>
      </c>
      <c r="T147" s="5">
        <f t="shared" si="8"/>
        <v>0</v>
      </c>
    </row>
    <row r="148" ht="27.75" customHeight="1" spans="1:20" x14ac:dyDescent="0.25">
      <c r="A148" s="2"/>
      <c r="B148" s="2"/>
      <c r="C148" s="7">
        <f>IF($B148="","",IFERROR(INDEX('Meetings (MOM)'!$B$2:$B$201,MATCH($B148,'Meetings (MOM)'!$A$2:$A$201,0)),""))</f>
      </c>
      <c r="D148" s="5">
        <f>IF($B148="","",IFERROR(INDEX('Meetings (MOM)'!$C$2:$C$201,MATCH($B148,'Meetings (MOM)'!$A$2:$A$201,0)),""))</f>
      </c>
      <c r="E148" s="4"/>
      <c r="F148" s="2"/>
      <c r="G148" s="2"/>
      <c r="H148" s="2"/>
      <c r="I148" s="8"/>
      <c r="J148" s="8"/>
      <c r="K148" s="8"/>
      <c r="L148" s="2"/>
      <c r="M148" s="9"/>
      <c r="N148" s="8"/>
      <c r="O148" s="10">
        <f t="shared" si="6"/>
      </c>
      <c r="P148" s="4"/>
      <c r="Q148" s="5">
        <f t="shared" si="7"/>
      </c>
      <c r="R148" s="4"/>
      <c r="S148" s="5">
        <f>IF($B148="","",$B148&amp;"-"&amp;COUNTIFS($B$2:$B148,$B148))</f>
      </c>
      <c r="T148" s="5">
        <f t="shared" si="8"/>
        <v>0</v>
      </c>
    </row>
    <row r="149" ht="27.75" customHeight="1" spans="1:20" x14ac:dyDescent="0.25">
      <c r="A149" s="2"/>
      <c r="B149" s="2"/>
      <c r="C149" s="7">
        <f>IF($B149="","",IFERROR(INDEX('Meetings (MOM)'!$B$2:$B$201,MATCH($B149,'Meetings (MOM)'!$A$2:$A$201,0)),""))</f>
      </c>
      <c r="D149" s="5">
        <f>IF($B149="","",IFERROR(INDEX('Meetings (MOM)'!$C$2:$C$201,MATCH($B149,'Meetings (MOM)'!$A$2:$A$201,0)),""))</f>
      </c>
      <c r="E149" s="4"/>
      <c r="F149" s="2"/>
      <c r="G149" s="2"/>
      <c r="H149" s="2"/>
      <c r="I149" s="8"/>
      <c r="J149" s="8"/>
      <c r="K149" s="8"/>
      <c r="L149" s="2"/>
      <c r="M149" s="9"/>
      <c r="N149" s="8"/>
      <c r="O149" s="10">
        <f t="shared" si="6"/>
      </c>
      <c r="P149" s="4"/>
      <c r="Q149" s="5">
        <f t="shared" si="7"/>
      </c>
      <c r="R149" s="4"/>
      <c r="S149" s="5">
        <f>IF($B149="","",$B149&amp;"-"&amp;COUNTIFS($B$2:$B149,$B149))</f>
      </c>
      <c r="T149" s="5">
        <f t="shared" si="8"/>
        <v>0</v>
      </c>
    </row>
    <row r="150" ht="27.75" customHeight="1" spans="1:20" x14ac:dyDescent="0.25">
      <c r="A150" s="2"/>
      <c r="B150" s="2"/>
      <c r="C150" s="7">
        <f>IF($B150="","",IFERROR(INDEX('Meetings (MOM)'!$B$2:$B$201,MATCH($B150,'Meetings (MOM)'!$A$2:$A$201,0)),""))</f>
      </c>
      <c r="D150" s="5">
        <f>IF($B150="","",IFERROR(INDEX('Meetings (MOM)'!$C$2:$C$201,MATCH($B150,'Meetings (MOM)'!$A$2:$A$201,0)),""))</f>
      </c>
      <c r="E150" s="4"/>
      <c r="F150" s="2"/>
      <c r="G150" s="2"/>
      <c r="H150" s="2"/>
      <c r="I150" s="8"/>
      <c r="J150" s="8"/>
      <c r="K150" s="8"/>
      <c r="L150" s="2"/>
      <c r="M150" s="9"/>
      <c r="N150" s="8"/>
      <c r="O150" s="10">
        <f t="shared" si="6"/>
      </c>
      <c r="P150" s="4"/>
      <c r="Q150" s="5">
        <f t="shared" si="7"/>
      </c>
      <c r="R150" s="4"/>
      <c r="S150" s="5">
        <f>IF($B150="","",$B150&amp;"-"&amp;COUNTIFS($B$2:$B150,$B150))</f>
      </c>
      <c r="T150" s="5">
        <f t="shared" si="8"/>
        <v>0</v>
      </c>
    </row>
    <row r="151" ht="27.75" customHeight="1" spans="1:20" x14ac:dyDescent="0.25">
      <c r="A151" s="2"/>
      <c r="B151" s="2"/>
      <c r="C151" s="7">
        <f>IF($B151="","",IFERROR(INDEX('Meetings (MOM)'!$B$2:$B$201,MATCH($B151,'Meetings (MOM)'!$A$2:$A$201,0)),""))</f>
      </c>
      <c r="D151" s="5">
        <f>IF($B151="","",IFERROR(INDEX('Meetings (MOM)'!$C$2:$C$201,MATCH($B151,'Meetings (MOM)'!$A$2:$A$201,0)),""))</f>
      </c>
      <c r="E151" s="4"/>
      <c r="F151" s="2"/>
      <c r="G151" s="2"/>
      <c r="H151" s="2"/>
      <c r="I151" s="8"/>
      <c r="J151" s="8"/>
      <c r="K151" s="8"/>
      <c r="L151" s="2"/>
      <c r="M151" s="9"/>
      <c r="N151" s="8"/>
      <c r="O151" s="10">
        <f t="shared" si="6"/>
      </c>
      <c r="P151" s="4"/>
      <c r="Q151" s="5">
        <f t="shared" si="7"/>
      </c>
      <c r="R151" s="4"/>
      <c r="S151" s="5">
        <f>IF($B151="","",$B151&amp;"-"&amp;COUNTIFS($B$2:$B151,$B151))</f>
      </c>
      <c r="T151" s="5">
        <f t="shared" si="8"/>
        <v>0</v>
      </c>
    </row>
    <row r="152" ht="27.75" customHeight="1" spans="1:20" x14ac:dyDescent="0.25">
      <c r="A152" s="2"/>
      <c r="B152" s="2"/>
      <c r="C152" s="7">
        <f>IF($B152="","",IFERROR(INDEX('Meetings (MOM)'!$B$2:$B$201,MATCH($B152,'Meetings (MOM)'!$A$2:$A$201,0)),""))</f>
      </c>
      <c r="D152" s="5">
        <f>IF($B152="","",IFERROR(INDEX('Meetings (MOM)'!$C$2:$C$201,MATCH($B152,'Meetings (MOM)'!$A$2:$A$201,0)),""))</f>
      </c>
      <c r="E152" s="4"/>
      <c r="F152" s="2"/>
      <c r="G152" s="2"/>
      <c r="H152" s="2"/>
      <c r="I152" s="8"/>
      <c r="J152" s="8"/>
      <c r="K152" s="8"/>
      <c r="L152" s="2"/>
      <c r="M152" s="9"/>
      <c r="N152" s="8"/>
      <c r="O152" s="10">
        <f t="shared" si="6"/>
      </c>
      <c r="P152" s="4"/>
      <c r="Q152" s="5">
        <f t="shared" si="7"/>
      </c>
      <c r="R152" s="4"/>
      <c r="S152" s="5">
        <f>IF($B152="","",$B152&amp;"-"&amp;COUNTIFS($B$2:$B152,$B152))</f>
      </c>
      <c r="T152" s="5">
        <f t="shared" si="8"/>
        <v>0</v>
      </c>
    </row>
    <row r="153" ht="27.75" customHeight="1" spans="1:20" x14ac:dyDescent="0.25">
      <c r="A153" s="2"/>
      <c r="B153" s="2"/>
      <c r="C153" s="7">
        <f>IF($B153="","",IFERROR(INDEX('Meetings (MOM)'!$B$2:$B$201,MATCH($B153,'Meetings (MOM)'!$A$2:$A$201,0)),""))</f>
      </c>
      <c r="D153" s="5">
        <f>IF($B153="","",IFERROR(INDEX('Meetings (MOM)'!$C$2:$C$201,MATCH($B153,'Meetings (MOM)'!$A$2:$A$201,0)),""))</f>
      </c>
      <c r="E153" s="4"/>
      <c r="F153" s="2"/>
      <c r="G153" s="2"/>
      <c r="H153" s="2"/>
      <c r="I153" s="8"/>
      <c r="J153" s="8"/>
      <c r="K153" s="8"/>
      <c r="L153" s="2"/>
      <c r="M153" s="9"/>
      <c r="N153" s="8"/>
      <c r="O153" s="10">
        <f t="shared" si="6"/>
      </c>
      <c r="P153" s="4"/>
      <c r="Q153" s="5">
        <f t="shared" si="7"/>
      </c>
      <c r="R153" s="4"/>
      <c r="S153" s="5">
        <f>IF($B153="","",$B153&amp;"-"&amp;COUNTIFS($B$2:$B153,$B153))</f>
      </c>
      <c r="T153" s="5">
        <f t="shared" si="8"/>
        <v>0</v>
      </c>
    </row>
    <row r="154" ht="27.75" customHeight="1" spans="1:20" x14ac:dyDescent="0.25">
      <c r="A154" s="2"/>
      <c r="B154" s="2"/>
      <c r="C154" s="7">
        <f>IF($B154="","",IFERROR(INDEX('Meetings (MOM)'!$B$2:$B$201,MATCH($B154,'Meetings (MOM)'!$A$2:$A$201,0)),""))</f>
      </c>
      <c r="D154" s="5">
        <f>IF($B154="","",IFERROR(INDEX('Meetings (MOM)'!$C$2:$C$201,MATCH($B154,'Meetings (MOM)'!$A$2:$A$201,0)),""))</f>
      </c>
      <c r="E154" s="4"/>
      <c r="F154" s="2"/>
      <c r="G154" s="2"/>
      <c r="H154" s="2"/>
      <c r="I154" s="8"/>
      <c r="J154" s="8"/>
      <c r="K154" s="8"/>
      <c r="L154" s="2"/>
      <c r="M154" s="9"/>
      <c r="N154" s="8"/>
      <c r="O154" s="10">
        <f t="shared" si="6"/>
      </c>
      <c r="P154" s="4"/>
      <c r="Q154" s="5">
        <f t="shared" si="7"/>
      </c>
      <c r="R154" s="4"/>
      <c r="S154" s="5">
        <f>IF($B154="","",$B154&amp;"-"&amp;COUNTIFS($B$2:$B154,$B154))</f>
      </c>
      <c r="T154" s="5">
        <f t="shared" si="8"/>
        <v>0</v>
      </c>
    </row>
    <row r="155" ht="27.75" customHeight="1" spans="1:20" x14ac:dyDescent="0.25">
      <c r="A155" s="2"/>
      <c r="B155" s="2"/>
      <c r="C155" s="7">
        <f>IF($B155="","",IFERROR(INDEX('Meetings (MOM)'!$B$2:$B$201,MATCH($B155,'Meetings (MOM)'!$A$2:$A$201,0)),""))</f>
      </c>
      <c r="D155" s="5">
        <f>IF($B155="","",IFERROR(INDEX('Meetings (MOM)'!$C$2:$C$201,MATCH($B155,'Meetings (MOM)'!$A$2:$A$201,0)),""))</f>
      </c>
      <c r="E155" s="4"/>
      <c r="F155" s="2"/>
      <c r="G155" s="2"/>
      <c r="H155" s="2"/>
      <c r="I155" s="8"/>
      <c r="J155" s="8"/>
      <c r="K155" s="8"/>
      <c r="L155" s="2"/>
      <c r="M155" s="9"/>
      <c r="N155" s="8"/>
      <c r="O155" s="10">
        <f t="shared" si="6"/>
      </c>
      <c r="P155" s="4"/>
      <c r="Q155" s="5">
        <f t="shared" si="7"/>
      </c>
      <c r="R155" s="4"/>
      <c r="S155" s="5">
        <f>IF($B155="","",$B155&amp;"-"&amp;COUNTIFS($B$2:$B155,$B155))</f>
      </c>
      <c r="T155" s="5">
        <f t="shared" si="8"/>
        <v>0</v>
      </c>
    </row>
    <row r="156" ht="27.75" customHeight="1" spans="1:20" x14ac:dyDescent="0.25">
      <c r="A156" s="2"/>
      <c r="B156" s="2"/>
      <c r="C156" s="7">
        <f>IF($B156="","",IFERROR(INDEX('Meetings (MOM)'!$B$2:$B$201,MATCH($B156,'Meetings (MOM)'!$A$2:$A$201,0)),""))</f>
      </c>
      <c r="D156" s="5">
        <f>IF($B156="","",IFERROR(INDEX('Meetings (MOM)'!$C$2:$C$201,MATCH($B156,'Meetings (MOM)'!$A$2:$A$201,0)),""))</f>
      </c>
      <c r="E156" s="4"/>
      <c r="F156" s="2"/>
      <c r="G156" s="2"/>
      <c r="H156" s="2"/>
      <c r="I156" s="8"/>
      <c r="J156" s="8"/>
      <c r="K156" s="8"/>
      <c r="L156" s="2"/>
      <c r="M156" s="9"/>
      <c r="N156" s="8"/>
      <c r="O156" s="10">
        <f t="shared" si="6"/>
      </c>
      <c r="P156" s="4"/>
      <c r="Q156" s="5">
        <f t="shared" si="7"/>
      </c>
      <c r="R156" s="4"/>
      <c r="S156" s="5">
        <f>IF($B156="","",$B156&amp;"-"&amp;COUNTIFS($B$2:$B156,$B156))</f>
      </c>
      <c r="T156" s="5">
        <f t="shared" si="8"/>
        <v>0</v>
      </c>
    </row>
    <row r="157" ht="27.75" customHeight="1" spans="1:20" x14ac:dyDescent="0.25">
      <c r="A157" s="2"/>
      <c r="B157" s="2"/>
      <c r="C157" s="7">
        <f>IF($B157="","",IFERROR(INDEX('Meetings (MOM)'!$B$2:$B$201,MATCH($B157,'Meetings (MOM)'!$A$2:$A$201,0)),""))</f>
      </c>
      <c r="D157" s="5">
        <f>IF($B157="","",IFERROR(INDEX('Meetings (MOM)'!$C$2:$C$201,MATCH($B157,'Meetings (MOM)'!$A$2:$A$201,0)),""))</f>
      </c>
      <c r="E157" s="4"/>
      <c r="F157" s="2"/>
      <c r="G157" s="2"/>
      <c r="H157" s="2"/>
      <c r="I157" s="8"/>
      <c r="J157" s="8"/>
      <c r="K157" s="8"/>
      <c r="L157" s="2"/>
      <c r="M157" s="9"/>
      <c r="N157" s="8"/>
      <c r="O157" s="10">
        <f t="shared" si="6"/>
      </c>
      <c r="P157" s="4"/>
      <c r="Q157" s="5">
        <f t="shared" si="7"/>
      </c>
      <c r="R157" s="4"/>
      <c r="S157" s="5">
        <f>IF($B157="","",$B157&amp;"-"&amp;COUNTIFS($B$2:$B157,$B157))</f>
      </c>
      <c r="T157" s="5">
        <f t="shared" si="8"/>
        <v>0</v>
      </c>
    </row>
    <row r="158" ht="27.75" customHeight="1" spans="1:20" x14ac:dyDescent="0.25">
      <c r="A158" s="2"/>
      <c r="B158" s="2"/>
      <c r="C158" s="7">
        <f>IF($B158="","",IFERROR(INDEX('Meetings (MOM)'!$B$2:$B$201,MATCH($B158,'Meetings (MOM)'!$A$2:$A$201,0)),""))</f>
      </c>
      <c r="D158" s="5">
        <f>IF($B158="","",IFERROR(INDEX('Meetings (MOM)'!$C$2:$C$201,MATCH($B158,'Meetings (MOM)'!$A$2:$A$201,0)),""))</f>
      </c>
      <c r="E158" s="4"/>
      <c r="F158" s="2"/>
      <c r="G158" s="2"/>
      <c r="H158" s="2"/>
      <c r="I158" s="8"/>
      <c r="J158" s="8"/>
      <c r="K158" s="8"/>
      <c r="L158" s="2"/>
      <c r="M158" s="9"/>
      <c r="N158" s="8"/>
      <c r="O158" s="10">
        <f t="shared" si="6"/>
      </c>
      <c r="P158" s="4"/>
      <c r="Q158" s="5">
        <f t="shared" si="7"/>
      </c>
      <c r="R158" s="4"/>
      <c r="S158" s="5">
        <f>IF($B158="","",$B158&amp;"-"&amp;COUNTIFS($B$2:$B158,$B158))</f>
      </c>
      <c r="T158" s="5">
        <f t="shared" si="8"/>
        <v>0</v>
      </c>
    </row>
    <row r="159" ht="27.75" customHeight="1" spans="1:20" x14ac:dyDescent="0.25">
      <c r="A159" s="2"/>
      <c r="B159" s="2"/>
      <c r="C159" s="7">
        <f>IF($B159="","",IFERROR(INDEX('Meetings (MOM)'!$B$2:$B$201,MATCH($B159,'Meetings (MOM)'!$A$2:$A$201,0)),""))</f>
      </c>
      <c r="D159" s="5">
        <f>IF($B159="","",IFERROR(INDEX('Meetings (MOM)'!$C$2:$C$201,MATCH($B159,'Meetings (MOM)'!$A$2:$A$201,0)),""))</f>
      </c>
      <c r="E159" s="4"/>
      <c r="F159" s="2"/>
      <c r="G159" s="2"/>
      <c r="H159" s="2"/>
      <c r="I159" s="8"/>
      <c r="J159" s="8"/>
      <c r="K159" s="8"/>
      <c r="L159" s="2"/>
      <c r="M159" s="9"/>
      <c r="N159" s="8"/>
      <c r="O159" s="10">
        <f t="shared" si="6"/>
      </c>
      <c r="P159" s="4"/>
      <c r="Q159" s="5">
        <f t="shared" si="7"/>
      </c>
      <c r="R159" s="4"/>
      <c r="S159" s="5">
        <f>IF($B159="","",$B159&amp;"-"&amp;COUNTIFS($B$2:$B159,$B159))</f>
      </c>
      <c r="T159" s="5">
        <f t="shared" si="8"/>
        <v>0</v>
      </c>
    </row>
    <row r="160" ht="27.75" customHeight="1" spans="1:20" x14ac:dyDescent="0.25">
      <c r="A160" s="2"/>
      <c r="B160" s="2"/>
      <c r="C160" s="7">
        <f>IF($B160="","",IFERROR(INDEX('Meetings (MOM)'!$B$2:$B$201,MATCH($B160,'Meetings (MOM)'!$A$2:$A$201,0)),""))</f>
      </c>
      <c r="D160" s="5">
        <f>IF($B160="","",IFERROR(INDEX('Meetings (MOM)'!$C$2:$C$201,MATCH($B160,'Meetings (MOM)'!$A$2:$A$201,0)),""))</f>
      </c>
      <c r="E160" s="4"/>
      <c r="F160" s="2"/>
      <c r="G160" s="2"/>
      <c r="H160" s="2"/>
      <c r="I160" s="8"/>
      <c r="J160" s="8"/>
      <c r="K160" s="8"/>
      <c r="L160" s="2"/>
      <c r="M160" s="9"/>
      <c r="N160" s="8"/>
      <c r="O160" s="10">
        <f t="shared" si="6"/>
      </c>
      <c r="P160" s="4"/>
      <c r="Q160" s="5">
        <f t="shared" si="7"/>
      </c>
      <c r="R160" s="4"/>
      <c r="S160" s="5">
        <f>IF($B160="","",$B160&amp;"-"&amp;COUNTIFS($B$2:$B160,$B160))</f>
      </c>
      <c r="T160" s="5">
        <f t="shared" si="8"/>
        <v>0</v>
      </c>
    </row>
    <row r="161" ht="27.75" customHeight="1" spans="1:20" x14ac:dyDescent="0.25">
      <c r="A161" s="2"/>
      <c r="B161" s="2"/>
      <c r="C161" s="7">
        <f>IF($B161="","",IFERROR(INDEX('Meetings (MOM)'!$B$2:$B$201,MATCH($B161,'Meetings (MOM)'!$A$2:$A$201,0)),""))</f>
      </c>
      <c r="D161" s="5">
        <f>IF($B161="","",IFERROR(INDEX('Meetings (MOM)'!$C$2:$C$201,MATCH($B161,'Meetings (MOM)'!$A$2:$A$201,0)),""))</f>
      </c>
      <c r="E161" s="4"/>
      <c r="F161" s="2"/>
      <c r="G161" s="2"/>
      <c r="H161" s="2"/>
      <c r="I161" s="8"/>
      <c r="J161" s="8"/>
      <c r="K161" s="8"/>
      <c r="L161" s="2"/>
      <c r="M161" s="9"/>
      <c r="N161" s="8"/>
      <c r="O161" s="10">
        <f t="shared" si="6"/>
      </c>
      <c r="P161" s="4"/>
      <c r="Q161" s="5">
        <f t="shared" si="7"/>
      </c>
      <c r="R161" s="4"/>
      <c r="S161" s="5">
        <f>IF($B161="","",$B161&amp;"-"&amp;COUNTIFS($B$2:$B161,$B161))</f>
      </c>
      <c r="T161" s="5">
        <f t="shared" si="8"/>
        <v>0</v>
      </c>
    </row>
    <row r="162" ht="27.75" customHeight="1" spans="1:20" x14ac:dyDescent="0.25">
      <c r="A162" s="2"/>
      <c r="B162" s="2"/>
      <c r="C162" s="7">
        <f>IF($B162="","",IFERROR(INDEX('Meetings (MOM)'!$B$2:$B$201,MATCH($B162,'Meetings (MOM)'!$A$2:$A$201,0)),""))</f>
      </c>
      <c r="D162" s="5">
        <f>IF($B162="","",IFERROR(INDEX('Meetings (MOM)'!$C$2:$C$201,MATCH($B162,'Meetings (MOM)'!$A$2:$A$201,0)),""))</f>
      </c>
      <c r="E162" s="4"/>
      <c r="F162" s="2"/>
      <c r="G162" s="2"/>
      <c r="H162" s="2"/>
      <c r="I162" s="8"/>
      <c r="J162" s="8"/>
      <c r="K162" s="8"/>
      <c r="L162" s="2"/>
      <c r="M162" s="9"/>
      <c r="N162" s="8"/>
      <c r="O162" s="10">
        <f t="shared" si="6"/>
      </c>
      <c r="P162" s="4"/>
      <c r="Q162" s="5">
        <f t="shared" si="7"/>
      </c>
      <c r="R162" s="4"/>
      <c r="S162" s="5">
        <f>IF($B162="","",$B162&amp;"-"&amp;COUNTIFS($B$2:$B162,$B162))</f>
      </c>
      <c r="T162" s="5">
        <f t="shared" si="8"/>
        <v>0</v>
      </c>
    </row>
    <row r="163" ht="27.75" customHeight="1" spans="1:20" x14ac:dyDescent="0.25">
      <c r="A163" s="2"/>
      <c r="B163" s="2"/>
      <c r="C163" s="7">
        <f>IF($B163="","",IFERROR(INDEX('Meetings (MOM)'!$B$2:$B$201,MATCH($B163,'Meetings (MOM)'!$A$2:$A$201,0)),""))</f>
      </c>
      <c r="D163" s="5">
        <f>IF($B163="","",IFERROR(INDEX('Meetings (MOM)'!$C$2:$C$201,MATCH($B163,'Meetings (MOM)'!$A$2:$A$201,0)),""))</f>
      </c>
      <c r="E163" s="4"/>
      <c r="F163" s="2"/>
      <c r="G163" s="2"/>
      <c r="H163" s="2"/>
      <c r="I163" s="8"/>
      <c r="J163" s="8"/>
      <c r="K163" s="8"/>
      <c r="L163" s="2"/>
      <c r="M163" s="9"/>
      <c r="N163" s="8"/>
      <c r="O163" s="10">
        <f t="shared" si="6"/>
      </c>
      <c r="P163" s="4"/>
      <c r="Q163" s="5">
        <f t="shared" si="7"/>
      </c>
      <c r="R163" s="4"/>
      <c r="S163" s="5">
        <f>IF($B163="","",$B163&amp;"-"&amp;COUNTIFS($B$2:$B163,$B163))</f>
      </c>
      <c r="T163" s="5">
        <f t="shared" si="8"/>
        <v>0</v>
      </c>
    </row>
    <row r="164" ht="27.75" customHeight="1" spans="1:20" x14ac:dyDescent="0.25">
      <c r="A164" s="2"/>
      <c r="B164" s="2"/>
      <c r="C164" s="7">
        <f>IF($B164="","",IFERROR(INDEX('Meetings (MOM)'!$B$2:$B$201,MATCH($B164,'Meetings (MOM)'!$A$2:$A$201,0)),""))</f>
      </c>
      <c r="D164" s="5">
        <f>IF($B164="","",IFERROR(INDEX('Meetings (MOM)'!$C$2:$C$201,MATCH($B164,'Meetings (MOM)'!$A$2:$A$201,0)),""))</f>
      </c>
      <c r="E164" s="4"/>
      <c r="F164" s="2"/>
      <c r="G164" s="2"/>
      <c r="H164" s="2"/>
      <c r="I164" s="8"/>
      <c r="J164" s="8"/>
      <c r="K164" s="8"/>
      <c r="L164" s="2"/>
      <c r="M164" s="9"/>
      <c r="N164" s="8"/>
      <c r="O164" s="10">
        <f t="shared" si="6"/>
      </c>
      <c r="P164" s="4"/>
      <c r="Q164" s="5">
        <f t="shared" si="7"/>
      </c>
      <c r="R164" s="4"/>
      <c r="S164" s="5">
        <f>IF($B164="","",$B164&amp;"-"&amp;COUNTIFS($B$2:$B164,$B164))</f>
      </c>
      <c r="T164" s="5">
        <f t="shared" si="8"/>
        <v>0</v>
      </c>
    </row>
    <row r="165" ht="27.75" customHeight="1" spans="1:20" x14ac:dyDescent="0.25">
      <c r="A165" s="2"/>
      <c r="B165" s="2"/>
      <c r="C165" s="7">
        <f>IF($B165="","",IFERROR(INDEX('Meetings (MOM)'!$B$2:$B$201,MATCH($B165,'Meetings (MOM)'!$A$2:$A$201,0)),""))</f>
      </c>
      <c r="D165" s="5">
        <f>IF($B165="","",IFERROR(INDEX('Meetings (MOM)'!$C$2:$C$201,MATCH($B165,'Meetings (MOM)'!$A$2:$A$201,0)),""))</f>
      </c>
      <c r="E165" s="4"/>
      <c r="F165" s="2"/>
      <c r="G165" s="2"/>
      <c r="H165" s="2"/>
      <c r="I165" s="8"/>
      <c r="J165" s="8"/>
      <c r="K165" s="8"/>
      <c r="L165" s="2"/>
      <c r="M165" s="9"/>
      <c r="N165" s="8"/>
      <c r="O165" s="10">
        <f t="shared" si="6"/>
      </c>
      <c r="P165" s="4"/>
      <c r="Q165" s="5">
        <f t="shared" si="7"/>
      </c>
      <c r="R165" s="4"/>
      <c r="S165" s="5">
        <f>IF($B165="","",$B165&amp;"-"&amp;COUNTIFS($B$2:$B165,$B165))</f>
      </c>
      <c r="T165" s="5">
        <f t="shared" si="8"/>
        <v>0</v>
      </c>
    </row>
    <row r="166" ht="27.75" customHeight="1" spans="1:20" x14ac:dyDescent="0.25">
      <c r="A166" s="2"/>
      <c r="B166" s="2"/>
      <c r="C166" s="7">
        <f>IF($B166="","",IFERROR(INDEX('Meetings (MOM)'!$B$2:$B$201,MATCH($B166,'Meetings (MOM)'!$A$2:$A$201,0)),""))</f>
      </c>
      <c r="D166" s="5">
        <f>IF($B166="","",IFERROR(INDEX('Meetings (MOM)'!$C$2:$C$201,MATCH($B166,'Meetings (MOM)'!$A$2:$A$201,0)),""))</f>
      </c>
      <c r="E166" s="4"/>
      <c r="F166" s="2"/>
      <c r="G166" s="2"/>
      <c r="H166" s="2"/>
      <c r="I166" s="8"/>
      <c r="J166" s="8"/>
      <c r="K166" s="8"/>
      <c r="L166" s="2"/>
      <c r="M166" s="9"/>
      <c r="N166" s="8"/>
      <c r="O166" s="10">
        <f t="shared" si="6"/>
      </c>
      <c r="P166" s="4"/>
      <c r="Q166" s="5">
        <f t="shared" si="7"/>
      </c>
      <c r="R166" s="4"/>
      <c r="S166" s="5">
        <f>IF($B166="","",$B166&amp;"-"&amp;COUNTIFS($B$2:$B166,$B166))</f>
      </c>
      <c r="T166" s="5">
        <f t="shared" si="8"/>
        <v>0</v>
      </c>
    </row>
    <row r="167" ht="27.75" customHeight="1" spans="1:20" x14ac:dyDescent="0.25">
      <c r="A167" s="2"/>
      <c r="B167" s="2"/>
      <c r="C167" s="7">
        <f>IF($B167="","",IFERROR(INDEX('Meetings (MOM)'!$B$2:$B$201,MATCH($B167,'Meetings (MOM)'!$A$2:$A$201,0)),""))</f>
      </c>
      <c r="D167" s="5">
        <f>IF($B167="","",IFERROR(INDEX('Meetings (MOM)'!$C$2:$C$201,MATCH($B167,'Meetings (MOM)'!$A$2:$A$201,0)),""))</f>
      </c>
      <c r="E167" s="4"/>
      <c r="F167" s="2"/>
      <c r="G167" s="2"/>
      <c r="H167" s="2"/>
      <c r="I167" s="8"/>
      <c r="J167" s="8"/>
      <c r="K167" s="8"/>
      <c r="L167" s="2"/>
      <c r="M167" s="9"/>
      <c r="N167" s="8"/>
      <c r="O167" s="10">
        <f t="shared" si="6"/>
      </c>
      <c r="P167" s="4"/>
      <c r="Q167" s="5">
        <f t="shared" si="7"/>
      </c>
      <c r="R167" s="4"/>
      <c r="S167" s="5">
        <f>IF($B167="","",$B167&amp;"-"&amp;COUNTIFS($B$2:$B167,$B167))</f>
      </c>
      <c r="T167" s="5">
        <f t="shared" si="8"/>
        <v>0</v>
      </c>
    </row>
    <row r="168" ht="27.75" customHeight="1" spans="1:20" x14ac:dyDescent="0.25">
      <c r="A168" s="2"/>
      <c r="B168" s="2"/>
      <c r="C168" s="7">
        <f>IF($B168="","",IFERROR(INDEX('Meetings (MOM)'!$B$2:$B$201,MATCH($B168,'Meetings (MOM)'!$A$2:$A$201,0)),""))</f>
      </c>
      <c r="D168" s="5">
        <f>IF($B168="","",IFERROR(INDEX('Meetings (MOM)'!$C$2:$C$201,MATCH($B168,'Meetings (MOM)'!$A$2:$A$201,0)),""))</f>
      </c>
      <c r="E168" s="4"/>
      <c r="F168" s="2"/>
      <c r="G168" s="2"/>
      <c r="H168" s="2"/>
      <c r="I168" s="8"/>
      <c r="J168" s="8"/>
      <c r="K168" s="8"/>
      <c r="L168" s="2"/>
      <c r="M168" s="9"/>
      <c r="N168" s="8"/>
      <c r="O168" s="10">
        <f t="shared" si="6"/>
      </c>
      <c r="P168" s="4"/>
      <c r="Q168" s="5">
        <f t="shared" si="7"/>
      </c>
      <c r="R168" s="4"/>
      <c r="S168" s="5">
        <f>IF($B168="","",$B168&amp;"-"&amp;COUNTIFS($B$2:$B168,$B168))</f>
      </c>
      <c r="T168" s="5">
        <f t="shared" si="8"/>
        <v>0</v>
      </c>
    </row>
    <row r="169" ht="27.75" customHeight="1" spans="1:20" x14ac:dyDescent="0.25">
      <c r="A169" s="2"/>
      <c r="B169" s="2"/>
      <c r="C169" s="7">
        <f>IF($B169="","",IFERROR(INDEX('Meetings (MOM)'!$B$2:$B$201,MATCH($B169,'Meetings (MOM)'!$A$2:$A$201,0)),""))</f>
      </c>
      <c r="D169" s="5">
        <f>IF($B169="","",IFERROR(INDEX('Meetings (MOM)'!$C$2:$C$201,MATCH($B169,'Meetings (MOM)'!$A$2:$A$201,0)),""))</f>
      </c>
      <c r="E169" s="4"/>
      <c r="F169" s="2"/>
      <c r="G169" s="2"/>
      <c r="H169" s="2"/>
      <c r="I169" s="8"/>
      <c r="J169" s="8"/>
      <c r="K169" s="8"/>
      <c r="L169" s="2"/>
      <c r="M169" s="9"/>
      <c r="N169" s="8"/>
      <c r="O169" s="10">
        <f t="shared" si="6"/>
      </c>
      <c r="P169" s="4"/>
      <c r="Q169" s="5">
        <f t="shared" si="7"/>
      </c>
      <c r="R169" s="4"/>
      <c r="S169" s="5">
        <f>IF($B169="","",$B169&amp;"-"&amp;COUNTIFS($B$2:$B169,$B169))</f>
      </c>
      <c r="T169" s="5">
        <f t="shared" si="8"/>
        <v>0</v>
      </c>
    </row>
    <row r="170" ht="27.75" customHeight="1" spans="1:20" x14ac:dyDescent="0.25">
      <c r="A170" s="2"/>
      <c r="B170" s="2"/>
      <c r="C170" s="7">
        <f>IF($B170="","",IFERROR(INDEX('Meetings (MOM)'!$B$2:$B$201,MATCH($B170,'Meetings (MOM)'!$A$2:$A$201,0)),""))</f>
      </c>
      <c r="D170" s="5">
        <f>IF($B170="","",IFERROR(INDEX('Meetings (MOM)'!$C$2:$C$201,MATCH($B170,'Meetings (MOM)'!$A$2:$A$201,0)),""))</f>
      </c>
      <c r="E170" s="4"/>
      <c r="F170" s="2"/>
      <c r="G170" s="2"/>
      <c r="H170" s="2"/>
      <c r="I170" s="8"/>
      <c r="J170" s="8"/>
      <c r="K170" s="8"/>
      <c r="L170" s="2"/>
      <c r="M170" s="9"/>
      <c r="N170" s="8"/>
      <c r="O170" s="10">
        <f t="shared" si="6"/>
      </c>
      <c r="P170" s="4"/>
      <c r="Q170" s="5">
        <f t="shared" si="7"/>
      </c>
      <c r="R170" s="4"/>
      <c r="S170" s="5">
        <f>IF($B170="","",$B170&amp;"-"&amp;COUNTIFS($B$2:$B170,$B170))</f>
      </c>
      <c r="T170" s="5">
        <f t="shared" si="8"/>
        <v>0</v>
      </c>
    </row>
    <row r="171" ht="27.75" customHeight="1" spans="1:20" x14ac:dyDescent="0.25">
      <c r="A171" s="2"/>
      <c r="B171" s="2"/>
      <c r="C171" s="7">
        <f>IF($B171="","",IFERROR(INDEX('Meetings (MOM)'!$B$2:$B$201,MATCH($B171,'Meetings (MOM)'!$A$2:$A$201,0)),""))</f>
      </c>
      <c r="D171" s="5">
        <f>IF($B171="","",IFERROR(INDEX('Meetings (MOM)'!$C$2:$C$201,MATCH($B171,'Meetings (MOM)'!$A$2:$A$201,0)),""))</f>
      </c>
      <c r="E171" s="4"/>
      <c r="F171" s="2"/>
      <c r="G171" s="2"/>
      <c r="H171" s="2"/>
      <c r="I171" s="8"/>
      <c r="J171" s="8"/>
      <c r="K171" s="8"/>
      <c r="L171" s="2"/>
      <c r="M171" s="9"/>
      <c r="N171" s="8"/>
      <c r="O171" s="10">
        <f t="shared" si="6"/>
      </c>
      <c r="P171" s="4"/>
      <c r="Q171" s="5">
        <f t="shared" si="7"/>
      </c>
      <c r="R171" s="4"/>
      <c r="S171" s="5">
        <f>IF($B171="","",$B171&amp;"-"&amp;COUNTIFS($B$2:$B171,$B171))</f>
      </c>
      <c r="T171" s="5">
        <f t="shared" si="8"/>
        <v>0</v>
      </c>
    </row>
    <row r="172" ht="27.75" customHeight="1" spans="1:20" x14ac:dyDescent="0.25">
      <c r="A172" s="2"/>
      <c r="B172" s="2"/>
      <c r="C172" s="7">
        <f>IF($B172="","",IFERROR(INDEX('Meetings (MOM)'!$B$2:$B$201,MATCH($B172,'Meetings (MOM)'!$A$2:$A$201,0)),""))</f>
      </c>
      <c r="D172" s="5">
        <f>IF($B172="","",IFERROR(INDEX('Meetings (MOM)'!$C$2:$C$201,MATCH($B172,'Meetings (MOM)'!$A$2:$A$201,0)),""))</f>
      </c>
      <c r="E172" s="4"/>
      <c r="F172" s="2"/>
      <c r="G172" s="2"/>
      <c r="H172" s="2"/>
      <c r="I172" s="8"/>
      <c r="J172" s="8"/>
      <c r="K172" s="8"/>
      <c r="L172" s="2"/>
      <c r="M172" s="9"/>
      <c r="N172" s="8"/>
      <c r="O172" s="10">
        <f t="shared" si="6"/>
      </c>
      <c r="P172" s="4"/>
      <c r="Q172" s="5">
        <f t="shared" si="7"/>
      </c>
      <c r="R172" s="4"/>
      <c r="S172" s="5">
        <f>IF($B172="","",$B172&amp;"-"&amp;COUNTIFS($B$2:$B172,$B172))</f>
      </c>
      <c r="T172" s="5">
        <f t="shared" si="8"/>
        <v>0</v>
      </c>
    </row>
    <row r="173" ht="27.75" customHeight="1" spans="1:20" x14ac:dyDescent="0.25">
      <c r="A173" s="2"/>
      <c r="B173" s="2"/>
      <c r="C173" s="7">
        <f>IF($B173="","",IFERROR(INDEX('Meetings (MOM)'!$B$2:$B$201,MATCH($B173,'Meetings (MOM)'!$A$2:$A$201,0)),""))</f>
      </c>
      <c r="D173" s="5">
        <f>IF($B173="","",IFERROR(INDEX('Meetings (MOM)'!$C$2:$C$201,MATCH($B173,'Meetings (MOM)'!$A$2:$A$201,0)),""))</f>
      </c>
      <c r="E173" s="4"/>
      <c r="F173" s="2"/>
      <c r="G173" s="2"/>
      <c r="H173" s="2"/>
      <c r="I173" s="8"/>
      <c r="J173" s="8"/>
      <c r="K173" s="8"/>
      <c r="L173" s="2"/>
      <c r="M173" s="9"/>
      <c r="N173" s="8"/>
      <c r="O173" s="10">
        <f t="shared" si="6"/>
      </c>
      <c r="P173" s="4"/>
      <c r="Q173" s="5">
        <f t="shared" si="7"/>
      </c>
      <c r="R173" s="4"/>
      <c r="S173" s="5">
        <f>IF($B173="","",$B173&amp;"-"&amp;COUNTIFS($B$2:$B173,$B173))</f>
      </c>
      <c r="T173" s="5">
        <f t="shared" si="8"/>
        <v>0</v>
      </c>
    </row>
    <row r="174" ht="27.75" customHeight="1" spans="1:20" x14ac:dyDescent="0.25">
      <c r="A174" s="2"/>
      <c r="B174" s="2"/>
      <c r="C174" s="7">
        <f>IF($B174="","",IFERROR(INDEX('Meetings (MOM)'!$B$2:$B$201,MATCH($B174,'Meetings (MOM)'!$A$2:$A$201,0)),""))</f>
      </c>
      <c r="D174" s="5">
        <f>IF($B174="","",IFERROR(INDEX('Meetings (MOM)'!$C$2:$C$201,MATCH($B174,'Meetings (MOM)'!$A$2:$A$201,0)),""))</f>
      </c>
      <c r="E174" s="4"/>
      <c r="F174" s="2"/>
      <c r="G174" s="2"/>
      <c r="H174" s="2"/>
      <c r="I174" s="8"/>
      <c r="J174" s="8"/>
      <c r="K174" s="8"/>
      <c r="L174" s="2"/>
      <c r="M174" s="9"/>
      <c r="N174" s="8"/>
      <c r="O174" s="10">
        <f t="shared" si="6"/>
      </c>
      <c r="P174" s="4"/>
      <c r="Q174" s="5">
        <f t="shared" si="7"/>
      </c>
      <c r="R174" s="4"/>
      <c r="S174" s="5">
        <f>IF($B174="","",$B174&amp;"-"&amp;COUNTIFS($B$2:$B174,$B174))</f>
      </c>
      <c r="T174" s="5">
        <f t="shared" si="8"/>
        <v>0</v>
      </c>
    </row>
    <row r="175" ht="27.75" customHeight="1" spans="1:20" x14ac:dyDescent="0.25">
      <c r="A175" s="2"/>
      <c r="B175" s="2"/>
      <c r="C175" s="7">
        <f>IF($B175="","",IFERROR(INDEX('Meetings (MOM)'!$B$2:$B$201,MATCH($B175,'Meetings (MOM)'!$A$2:$A$201,0)),""))</f>
      </c>
      <c r="D175" s="5">
        <f>IF($B175="","",IFERROR(INDEX('Meetings (MOM)'!$C$2:$C$201,MATCH($B175,'Meetings (MOM)'!$A$2:$A$201,0)),""))</f>
      </c>
      <c r="E175" s="4"/>
      <c r="F175" s="2"/>
      <c r="G175" s="2"/>
      <c r="H175" s="2"/>
      <c r="I175" s="8"/>
      <c r="J175" s="8"/>
      <c r="K175" s="8"/>
      <c r="L175" s="2"/>
      <c r="M175" s="9"/>
      <c r="N175" s="8"/>
      <c r="O175" s="10">
        <f t="shared" si="6"/>
      </c>
      <c r="P175" s="4"/>
      <c r="Q175" s="5">
        <f t="shared" si="7"/>
      </c>
      <c r="R175" s="4"/>
      <c r="S175" s="5">
        <f>IF($B175="","",$B175&amp;"-"&amp;COUNTIFS($B$2:$B175,$B175))</f>
      </c>
      <c r="T175" s="5">
        <f t="shared" si="8"/>
        <v>0</v>
      </c>
    </row>
    <row r="176" ht="27.75" customHeight="1" spans="1:20" x14ac:dyDescent="0.25">
      <c r="A176" s="2"/>
      <c r="B176" s="2"/>
      <c r="C176" s="7">
        <f>IF($B176="","",IFERROR(INDEX('Meetings (MOM)'!$B$2:$B$201,MATCH($B176,'Meetings (MOM)'!$A$2:$A$201,0)),""))</f>
      </c>
      <c r="D176" s="5">
        <f>IF($B176="","",IFERROR(INDEX('Meetings (MOM)'!$C$2:$C$201,MATCH($B176,'Meetings (MOM)'!$A$2:$A$201,0)),""))</f>
      </c>
      <c r="E176" s="4"/>
      <c r="F176" s="2"/>
      <c r="G176" s="2"/>
      <c r="H176" s="2"/>
      <c r="I176" s="8"/>
      <c r="J176" s="8"/>
      <c r="K176" s="8"/>
      <c r="L176" s="2"/>
      <c r="M176" s="9"/>
      <c r="N176" s="8"/>
      <c r="O176" s="10">
        <f t="shared" si="6"/>
      </c>
      <c r="P176" s="4"/>
      <c r="Q176" s="5">
        <f t="shared" si="7"/>
      </c>
      <c r="R176" s="4"/>
      <c r="S176" s="5">
        <f>IF($B176="","",$B176&amp;"-"&amp;COUNTIFS($B$2:$B176,$B176))</f>
      </c>
      <c r="T176" s="5">
        <f t="shared" si="8"/>
        <v>0</v>
      </c>
    </row>
    <row r="177" ht="27.75" customHeight="1" spans="1:20" x14ac:dyDescent="0.25">
      <c r="A177" s="2"/>
      <c r="B177" s="2"/>
      <c r="C177" s="7">
        <f>IF($B177="","",IFERROR(INDEX('Meetings (MOM)'!$B$2:$B$201,MATCH($B177,'Meetings (MOM)'!$A$2:$A$201,0)),""))</f>
      </c>
      <c r="D177" s="5">
        <f>IF($B177="","",IFERROR(INDEX('Meetings (MOM)'!$C$2:$C$201,MATCH($B177,'Meetings (MOM)'!$A$2:$A$201,0)),""))</f>
      </c>
      <c r="E177" s="4"/>
      <c r="F177" s="2"/>
      <c r="G177" s="2"/>
      <c r="H177" s="2"/>
      <c r="I177" s="8"/>
      <c r="J177" s="8"/>
      <c r="K177" s="8"/>
      <c r="L177" s="2"/>
      <c r="M177" s="9"/>
      <c r="N177" s="8"/>
      <c r="O177" s="10">
        <f t="shared" si="6"/>
      </c>
      <c r="P177" s="4"/>
      <c r="Q177" s="5">
        <f t="shared" si="7"/>
      </c>
      <c r="R177" s="4"/>
      <c r="S177" s="5">
        <f>IF($B177="","",$B177&amp;"-"&amp;COUNTIFS($B$2:$B177,$B177))</f>
      </c>
      <c r="T177" s="5">
        <f t="shared" si="8"/>
        <v>0</v>
      </c>
    </row>
    <row r="178" ht="27.75" customHeight="1" spans="1:20" x14ac:dyDescent="0.25">
      <c r="A178" s="2"/>
      <c r="B178" s="2"/>
      <c r="C178" s="7">
        <f>IF($B178="","",IFERROR(INDEX('Meetings (MOM)'!$B$2:$B$201,MATCH($B178,'Meetings (MOM)'!$A$2:$A$201,0)),""))</f>
      </c>
      <c r="D178" s="5">
        <f>IF($B178="","",IFERROR(INDEX('Meetings (MOM)'!$C$2:$C$201,MATCH($B178,'Meetings (MOM)'!$A$2:$A$201,0)),""))</f>
      </c>
      <c r="E178" s="4"/>
      <c r="F178" s="2"/>
      <c r="G178" s="2"/>
      <c r="H178" s="2"/>
      <c r="I178" s="8"/>
      <c r="J178" s="8"/>
      <c r="K178" s="8"/>
      <c r="L178" s="2"/>
      <c r="M178" s="9"/>
      <c r="N178" s="8"/>
      <c r="O178" s="10">
        <f t="shared" si="6"/>
      </c>
      <c r="P178" s="4"/>
      <c r="Q178" s="5">
        <f t="shared" si="7"/>
      </c>
      <c r="R178" s="4"/>
      <c r="S178" s="5">
        <f>IF($B178="","",$B178&amp;"-"&amp;COUNTIFS($B$2:$B178,$B178))</f>
      </c>
      <c r="T178" s="5">
        <f t="shared" si="8"/>
        <v>0</v>
      </c>
    </row>
    <row r="179" ht="27.75" customHeight="1" spans="1:20" x14ac:dyDescent="0.25">
      <c r="A179" s="2"/>
      <c r="B179" s="2"/>
      <c r="C179" s="7">
        <f>IF($B179="","",IFERROR(INDEX('Meetings (MOM)'!$B$2:$B$201,MATCH($B179,'Meetings (MOM)'!$A$2:$A$201,0)),""))</f>
      </c>
      <c r="D179" s="5">
        <f>IF($B179="","",IFERROR(INDEX('Meetings (MOM)'!$C$2:$C$201,MATCH($B179,'Meetings (MOM)'!$A$2:$A$201,0)),""))</f>
      </c>
      <c r="E179" s="4"/>
      <c r="F179" s="2"/>
      <c r="G179" s="2"/>
      <c r="H179" s="2"/>
      <c r="I179" s="8"/>
      <c r="J179" s="8"/>
      <c r="K179" s="8"/>
      <c r="L179" s="2"/>
      <c r="M179" s="9"/>
      <c r="N179" s="8"/>
      <c r="O179" s="10">
        <f t="shared" si="6"/>
      </c>
      <c r="P179" s="4"/>
      <c r="Q179" s="5">
        <f t="shared" si="7"/>
      </c>
      <c r="R179" s="4"/>
      <c r="S179" s="5">
        <f>IF($B179="","",$B179&amp;"-"&amp;COUNTIFS($B$2:$B179,$B179))</f>
      </c>
      <c r="T179" s="5">
        <f t="shared" si="8"/>
        <v>0</v>
      </c>
    </row>
    <row r="180" ht="27.75" customHeight="1" spans="1:20" x14ac:dyDescent="0.25">
      <c r="A180" s="2"/>
      <c r="B180" s="2"/>
      <c r="C180" s="7">
        <f>IF($B180="","",IFERROR(INDEX('Meetings (MOM)'!$B$2:$B$201,MATCH($B180,'Meetings (MOM)'!$A$2:$A$201,0)),""))</f>
      </c>
      <c r="D180" s="5">
        <f>IF($B180="","",IFERROR(INDEX('Meetings (MOM)'!$C$2:$C$201,MATCH($B180,'Meetings (MOM)'!$A$2:$A$201,0)),""))</f>
      </c>
      <c r="E180" s="4"/>
      <c r="F180" s="2"/>
      <c r="G180" s="2"/>
      <c r="H180" s="2"/>
      <c r="I180" s="8"/>
      <c r="J180" s="8"/>
      <c r="K180" s="8"/>
      <c r="L180" s="2"/>
      <c r="M180" s="9"/>
      <c r="N180" s="8"/>
      <c r="O180" s="10">
        <f t="shared" si="6"/>
      </c>
      <c r="P180" s="4"/>
      <c r="Q180" s="5">
        <f t="shared" si="7"/>
      </c>
      <c r="R180" s="4"/>
      <c r="S180" s="5">
        <f>IF($B180="","",$B180&amp;"-"&amp;COUNTIFS($B$2:$B180,$B180))</f>
      </c>
      <c r="T180" s="5">
        <f t="shared" si="8"/>
        <v>0</v>
      </c>
    </row>
    <row r="181" ht="27.75" customHeight="1" spans="1:20" x14ac:dyDescent="0.25">
      <c r="A181" s="2"/>
      <c r="B181" s="2"/>
      <c r="C181" s="7">
        <f>IF($B181="","",IFERROR(INDEX('Meetings (MOM)'!$B$2:$B$201,MATCH($B181,'Meetings (MOM)'!$A$2:$A$201,0)),""))</f>
      </c>
      <c r="D181" s="5">
        <f>IF($B181="","",IFERROR(INDEX('Meetings (MOM)'!$C$2:$C$201,MATCH($B181,'Meetings (MOM)'!$A$2:$A$201,0)),""))</f>
      </c>
      <c r="E181" s="4"/>
      <c r="F181" s="2"/>
      <c r="G181" s="2"/>
      <c r="H181" s="2"/>
      <c r="I181" s="8"/>
      <c r="J181" s="8"/>
      <c r="K181" s="8"/>
      <c r="L181" s="2"/>
      <c r="M181" s="9"/>
      <c r="N181" s="8"/>
      <c r="O181" s="10">
        <f t="shared" si="6"/>
      </c>
      <c r="P181" s="4"/>
      <c r="Q181" s="5">
        <f t="shared" si="7"/>
      </c>
      <c r="R181" s="4"/>
      <c r="S181" s="5">
        <f>IF($B181="","",$B181&amp;"-"&amp;COUNTIFS($B$2:$B181,$B181))</f>
      </c>
      <c r="T181" s="5">
        <f t="shared" si="8"/>
        <v>0</v>
      </c>
    </row>
    <row r="182" ht="27.75" customHeight="1" spans="1:20" x14ac:dyDescent="0.25">
      <c r="A182" s="2"/>
      <c r="B182" s="2"/>
      <c r="C182" s="7">
        <f>IF($B182="","",IFERROR(INDEX('Meetings (MOM)'!$B$2:$B$201,MATCH($B182,'Meetings (MOM)'!$A$2:$A$201,0)),""))</f>
      </c>
      <c r="D182" s="5">
        <f>IF($B182="","",IFERROR(INDEX('Meetings (MOM)'!$C$2:$C$201,MATCH($B182,'Meetings (MOM)'!$A$2:$A$201,0)),""))</f>
      </c>
      <c r="E182" s="4"/>
      <c r="F182" s="2"/>
      <c r="G182" s="2"/>
      <c r="H182" s="2"/>
      <c r="I182" s="8"/>
      <c r="J182" s="8"/>
      <c r="K182" s="8"/>
      <c r="L182" s="2"/>
      <c r="M182" s="9"/>
      <c r="N182" s="8"/>
      <c r="O182" s="10">
        <f t="shared" si="6"/>
      </c>
      <c r="P182" s="4"/>
      <c r="Q182" s="5">
        <f t="shared" si="7"/>
      </c>
      <c r="R182" s="4"/>
      <c r="S182" s="5">
        <f>IF($B182="","",$B182&amp;"-"&amp;COUNTIFS($B$2:$B182,$B182))</f>
      </c>
      <c r="T182" s="5">
        <f t="shared" si="8"/>
        <v>0</v>
      </c>
    </row>
    <row r="183" ht="27.75" customHeight="1" spans="1:20" x14ac:dyDescent="0.25">
      <c r="A183" s="2"/>
      <c r="B183" s="2"/>
      <c r="C183" s="7">
        <f>IF($B183="","",IFERROR(INDEX('Meetings (MOM)'!$B$2:$B$201,MATCH($B183,'Meetings (MOM)'!$A$2:$A$201,0)),""))</f>
      </c>
      <c r="D183" s="5">
        <f>IF($B183="","",IFERROR(INDEX('Meetings (MOM)'!$C$2:$C$201,MATCH($B183,'Meetings (MOM)'!$A$2:$A$201,0)),""))</f>
      </c>
      <c r="E183" s="4"/>
      <c r="F183" s="2"/>
      <c r="G183" s="2"/>
      <c r="H183" s="2"/>
      <c r="I183" s="8"/>
      <c r="J183" s="8"/>
      <c r="K183" s="8"/>
      <c r="L183" s="2"/>
      <c r="M183" s="9"/>
      <c r="N183" s="8"/>
      <c r="O183" s="10">
        <f t="shared" si="6"/>
      </c>
      <c r="P183" s="4"/>
      <c r="Q183" s="5">
        <f t="shared" si="7"/>
      </c>
      <c r="R183" s="4"/>
      <c r="S183" s="5">
        <f>IF($B183="","",$B183&amp;"-"&amp;COUNTIFS($B$2:$B183,$B183))</f>
      </c>
      <c r="T183" s="5">
        <f t="shared" si="8"/>
        <v>0</v>
      </c>
    </row>
    <row r="184" ht="27.75" customHeight="1" spans="1:20" x14ac:dyDescent="0.25">
      <c r="A184" s="2"/>
      <c r="B184" s="2"/>
      <c r="C184" s="7">
        <f>IF($B184="","",IFERROR(INDEX('Meetings (MOM)'!$B$2:$B$201,MATCH($B184,'Meetings (MOM)'!$A$2:$A$201,0)),""))</f>
      </c>
      <c r="D184" s="5">
        <f>IF($B184="","",IFERROR(INDEX('Meetings (MOM)'!$C$2:$C$201,MATCH($B184,'Meetings (MOM)'!$A$2:$A$201,0)),""))</f>
      </c>
      <c r="E184" s="4"/>
      <c r="F184" s="2"/>
      <c r="G184" s="2"/>
      <c r="H184" s="2"/>
      <c r="I184" s="8"/>
      <c r="J184" s="8"/>
      <c r="K184" s="8"/>
      <c r="L184" s="2"/>
      <c r="M184" s="9"/>
      <c r="N184" s="8"/>
      <c r="O184" s="10">
        <f t="shared" si="6"/>
      </c>
      <c r="P184" s="4"/>
      <c r="Q184" s="5">
        <f t="shared" si="7"/>
      </c>
      <c r="R184" s="4"/>
      <c r="S184" s="5">
        <f>IF($B184="","",$B184&amp;"-"&amp;COUNTIFS($B$2:$B184,$B184))</f>
      </c>
      <c r="T184" s="5">
        <f t="shared" si="8"/>
        <v>0</v>
      </c>
    </row>
    <row r="185" ht="27.75" customHeight="1" spans="1:20" x14ac:dyDescent="0.25">
      <c r="A185" s="2"/>
      <c r="B185" s="2"/>
      <c r="C185" s="7">
        <f>IF($B185="","",IFERROR(INDEX('Meetings (MOM)'!$B$2:$B$201,MATCH($B185,'Meetings (MOM)'!$A$2:$A$201,0)),""))</f>
      </c>
      <c r="D185" s="5">
        <f>IF($B185="","",IFERROR(INDEX('Meetings (MOM)'!$C$2:$C$201,MATCH($B185,'Meetings (MOM)'!$A$2:$A$201,0)),""))</f>
      </c>
      <c r="E185" s="4"/>
      <c r="F185" s="2"/>
      <c r="G185" s="2"/>
      <c r="H185" s="2"/>
      <c r="I185" s="8"/>
      <c r="J185" s="8"/>
      <c r="K185" s="8"/>
      <c r="L185" s="2"/>
      <c r="M185" s="9"/>
      <c r="N185" s="8"/>
      <c r="O185" s="10">
        <f t="shared" si="6"/>
      </c>
      <c r="P185" s="4"/>
      <c r="Q185" s="5">
        <f t="shared" si="7"/>
      </c>
      <c r="R185" s="4"/>
      <c r="S185" s="5">
        <f>IF($B185="","",$B185&amp;"-"&amp;COUNTIFS($B$2:$B185,$B185))</f>
      </c>
      <c r="T185" s="5">
        <f t="shared" si="8"/>
        <v>0</v>
      </c>
    </row>
    <row r="186" ht="27.75" customHeight="1" spans="1:20" x14ac:dyDescent="0.25">
      <c r="A186" s="2"/>
      <c r="B186" s="2"/>
      <c r="C186" s="7">
        <f>IF($B186="","",IFERROR(INDEX('Meetings (MOM)'!$B$2:$B$201,MATCH($B186,'Meetings (MOM)'!$A$2:$A$201,0)),""))</f>
      </c>
      <c r="D186" s="5">
        <f>IF($B186="","",IFERROR(INDEX('Meetings (MOM)'!$C$2:$C$201,MATCH($B186,'Meetings (MOM)'!$A$2:$A$201,0)),""))</f>
      </c>
      <c r="E186" s="4"/>
      <c r="F186" s="2"/>
      <c r="G186" s="2"/>
      <c r="H186" s="2"/>
      <c r="I186" s="8"/>
      <c r="J186" s="8"/>
      <c r="K186" s="8"/>
      <c r="L186" s="2"/>
      <c r="M186" s="9"/>
      <c r="N186" s="8"/>
      <c r="O186" s="10">
        <f t="shared" si="6"/>
      </c>
      <c r="P186" s="4"/>
      <c r="Q186" s="5">
        <f t="shared" si="7"/>
      </c>
      <c r="R186" s="4"/>
      <c r="S186" s="5">
        <f>IF($B186="","",$B186&amp;"-"&amp;COUNTIFS($B$2:$B186,$B186))</f>
      </c>
      <c r="T186" s="5">
        <f t="shared" si="8"/>
        <v>0</v>
      </c>
    </row>
    <row r="187" ht="27.75" customHeight="1" spans="1:20" x14ac:dyDescent="0.25">
      <c r="A187" s="2"/>
      <c r="B187" s="2"/>
      <c r="C187" s="7">
        <f>IF($B187="","",IFERROR(INDEX('Meetings (MOM)'!$B$2:$B$201,MATCH($B187,'Meetings (MOM)'!$A$2:$A$201,0)),""))</f>
      </c>
      <c r="D187" s="5">
        <f>IF($B187="","",IFERROR(INDEX('Meetings (MOM)'!$C$2:$C$201,MATCH($B187,'Meetings (MOM)'!$A$2:$A$201,0)),""))</f>
      </c>
      <c r="E187" s="4"/>
      <c r="F187" s="2"/>
      <c r="G187" s="2"/>
      <c r="H187" s="2"/>
      <c r="I187" s="8"/>
      <c r="J187" s="8"/>
      <c r="K187" s="8"/>
      <c r="L187" s="2"/>
      <c r="M187" s="9"/>
      <c r="N187" s="8"/>
      <c r="O187" s="10">
        <f t="shared" si="6"/>
      </c>
      <c r="P187" s="4"/>
      <c r="Q187" s="5">
        <f t="shared" si="7"/>
      </c>
      <c r="R187" s="4"/>
      <c r="S187" s="5">
        <f>IF($B187="","",$B187&amp;"-"&amp;COUNTIFS($B$2:$B187,$B187))</f>
      </c>
      <c r="T187" s="5">
        <f t="shared" si="8"/>
        <v>0</v>
      </c>
    </row>
    <row r="188" ht="27.75" customHeight="1" spans="1:20" x14ac:dyDescent="0.25">
      <c r="A188" s="2"/>
      <c r="B188" s="2"/>
      <c r="C188" s="7">
        <f>IF($B188="","",IFERROR(INDEX('Meetings (MOM)'!$B$2:$B$201,MATCH($B188,'Meetings (MOM)'!$A$2:$A$201,0)),""))</f>
      </c>
      <c r="D188" s="5">
        <f>IF($B188="","",IFERROR(INDEX('Meetings (MOM)'!$C$2:$C$201,MATCH($B188,'Meetings (MOM)'!$A$2:$A$201,0)),""))</f>
      </c>
      <c r="E188" s="4"/>
      <c r="F188" s="2"/>
      <c r="G188" s="2"/>
      <c r="H188" s="2"/>
      <c r="I188" s="8"/>
      <c r="J188" s="8"/>
      <c r="K188" s="8"/>
      <c r="L188" s="2"/>
      <c r="M188" s="9"/>
      <c r="N188" s="8"/>
      <c r="O188" s="10">
        <f t="shared" si="6"/>
      </c>
      <c r="P188" s="4"/>
      <c r="Q188" s="5">
        <f t="shared" si="7"/>
      </c>
      <c r="R188" s="4"/>
      <c r="S188" s="5">
        <f>IF($B188="","",$B188&amp;"-"&amp;COUNTIFS($B$2:$B188,$B188))</f>
      </c>
      <c r="T188" s="5">
        <f t="shared" si="8"/>
        <v>0</v>
      </c>
    </row>
    <row r="189" ht="27.75" customHeight="1" spans="1:20" x14ac:dyDescent="0.25">
      <c r="A189" s="2"/>
      <c r="B189" s="2"/>
      <c r="C189" s="7">
        <f>IF($B189="","",IFERROR(INDEX('Meetings (MOM)'!$B$2:$B$201,MATCH($B189,'Meetings (MOM)'!$A$2:$A$201,0)),""))</f>
      </c>
      <c r="D189" s="5">
        <f>IF($B189="","",IFERROR(INDEX('Meetings (MOM)'!$C$2:$C$201,MATCH($B189,'Meetings (MOM)'!$A$2:$A$201,0)),""))</f>
      </c>
      <c r="E189" s="4"/>
      <c r="F189" s="2"/>
      <c r="G189" s="2"/>
      <c r="H189" s="2"/>
      <c r="I189" s="8"/>
      <c r="J189" s="8"/>
      <c r="K189" s="8"/>
      <c r="L189" s="2"/>
      <c r="M189" s="9"/>
      <c r="N189" s="8"/>
      <c r="O189" s="10">
        <f t="shared" si="6"/>
      </c>
      <c r="P189" s="4"/>
      <c r="Q189" s="5">
        <f t="shared" si="7"/>
      </c>
      <c r="R189" s="4"/>
      <c r="S189" s="5">
        <f>IF($B189="","",$B189&amp;"-"&amp;COUNTIFS($B$2:$B189,$B189))</f>
      </c>
      <c r="T189" s="5">
        <f t="shared" si="8"/>
        <v>0</v>
      </c>
    </row>
    <row r="190" ht="27.75" customHeight="1" spans="1:20" x14ac:dyDescent="0.25">
      <c r="A190" s="2"/>
      <c r="B190" s="2"/>
      <c r="C190" s="7">
        <f>IF($B190="","",IFERROR(INDEX('Meetings (MOM)'!$B$2:$B$201,MATCH($B190,'Meetings (MOM)'!$A$2:$A$201,0)),""))</f>
      </c>
      <c r="D190" s="5">
        <f>IF($B190="","",IFERROR(INDEX('Meetings (MOM)'!$C$2:$C$201,MATCH($B190,'Meetings (MOM)'!$A$2:$A$201,0)),""))</f>
      </c>
      <c r="E190" s="4"/>
      <c r="F190" s="2"/>
      <c r="G190" s="2"/>
      <c r="H190" s="2"/>
      <c r="I190" s="8"/>
      <c r="J190" s="8"/>
      <c r="K190" s="8"/>
      <c r="L190" s="2"/>
      <c r="M190" s="9"/>
      <c r="N190" s="8"/>
      <c r="O190" s="10">
        <f t="shared" si="6"/>
      </c>
      <c r="P190" s="4"/>
      <c r="Q190" s="5">
        <f t="shared" si="7"/>
      </c>
      <c r="R190" s="4"/>
      <c r="S190" s="5">
        <f>IF($B190="","",$B190&amp;"-"&amp;COUNTIFS($B$2:$B190,$B190))</f>
      </c>
      <c r="T190" s="5">
        <f t="shared" si="8"/>
        <v>0</v>
      </c>
    </row>
    <row r="191" ht="27.75" customHeight="1" spans="1:20" x14ac:dyDescent="0.25">
      <c r="A191" s="2"/>
      <c r="B191" s="2"/>
      <c r="C191" s="7">
        <f>IF($B191="","",IFERROR(INDEX('Meetings (MOM)'!$B$2:$B$201,MATCH($B191,'Meetings (MOM)'!$A$2:$A$201,0)),""))</f>
      </c>
      <c r="D191" s="5">
        <f>IF($B191="","",IFERROR(INDEX('Meetings (MOM)'!$C$2:$C$201,MATCH($B191,'Meetings (MOM)'!$A$2:$A$201,0)),""))</f>
      </c>
      <c r="E191" s="4"/>
      <c r="F191" s="2"/>
      <c r="G191" s="2"/>
      <c r="H191" s="2"/>
      <c r="I191" s="8"/>
      <c r="J191" s="8"/>
      <c r="K191" s="8"/>
      <c r="L191" s="2"/>
      <c r="M191" s="9"/>
      <c r="N191" s="8"/>
      <c r="O191" s="10">
        <f t="shared" si="6"/>
      </c>
      <c r="P191" s="4"/>
      <c r="Q191" s="5">
        <f t="shared" si="7"/>
      </c>
      <c r="R191" s="4"/>
      <c r="S191" s="5">
        <f>IF($B191="","",$B191&amp;"-"&amp;COUNTIFS($B$2:$B191,$B191))</f>
      </c>
      <c r="T191" s="5">
        <f t="shared" si="8"/>
        <v>0</v>
      </c>
    </row>
    <row r="192" ht="27.75" customHeight="1" spans="1:20" x14ac:dyDescent="0.25">
      <c r="A192" s="2"/>
      <c r="B192" s="2"/>
      <c r="C192" s="7">
        <f>IF($B192="","",IFERROR(INDEX('Meetings (MOM)'!$B$2:$B$201,MATCH($B192,'Meetings (MOM)'!$A$2:$A$201,0)),""))</f>
      </c>
      <c r="D192" s="5">
        <f>IF($B192="","",IFERROR(INDEX('Meetings (MOM)'!$C$2:$C$201,MATCH($B192,'Meetings (MOM)'!$A$2:$A$201,0)),""))</f>
      </c>
      <c r="E192" s="4"/>
      <c r="F192" s="2"/>
      <c r="G192" s="2"/>
      <c r="H192" s="2"/>
      <c r="I192" s="8"/>
      <c r="J192" s="8"/>
      <c r="K192" s="8"/>
      <c r="L192" s="2"/>
      <c r="M192" s="9"/>
      <c r="N192" s="8"/>
      <c r="O192" s="10">
        <f t="shared" si="6"/>
      </c>
      <c r="P192" s="4"/>
      <c r="Q192" s="5">
        <f t="shared" si="7"/>
      </c>
      <c r="R192" s="4"/>
      <c r="S192" s="5">
        <f>IF($B192="","",$B192&amp;"-"&amp;COUNTIFS($B$2:$B192,$B192))</f>
      </c>
      <c r="T192" s="5">
        <f t="shared" si="8"/>
        <v>0</v>
      </c>
    </row>
    <row r="193" ht="27.75" customHeight="1" spans="1:20" x14ac:dyDescent="0.25">
      <c r="A193" s="2"/>
      <c r="B193" s="2"/>
      <c r="C193" s="7">
        <f>IF($B193="","",IFERROR(INDEX('Meetings (MOM)'!$B$2:$B$201,MATCH($B193,'Meetings (MOM)'!$A$2:$A$201,0)),""))</f>
      </c>
      <c r="D193" s="5">
        <f>IF($B193="","",IFERROR(INDEX('Meetings (MOM)'!$C$2:$C$201,MATCH($B193,'Meetings (MOM)'!$A$2:$A$201,0)),""))</f>
      </c>
      <c r="E193" s="4"/>
      <c r="F193" s="2"/>
      <c r="G193" s="2"/>
      <c r="H193" s="2"/>
      <c r="I193" s="8"/>
      <c r="J193" s="8"/>
      <c r="K193" s="8"/>
      <c r="L193" s="2"/>
      <c r="M193" s="9"/>
      <c r="N193" s="8"/>
      <c r="O193" s="10">
        <f t="shared" si="6"/>
      </c>
      <c r="P193" s="4"/>
      <c r="Q193" s="5">
        <f t="shared" si="7"/>
      </c>
      <c r="R193" s="4"/>
      <c r="S193" s="5">
        <f>IF($B193="","",$B193&amp;"-"&amp;COUNTIFS($B$2:$B193,$B193))</f>
      </c>
      <c r="T193" s="5">
        <f t="shared" si="8"/>
        <v>0</v>
      </c>
    </row>
    <row r="194" ht="27.75" customHeight="1" spans="1:20" x14ac:dyDescent="0.25">
      <c r="A194" s="2"/>
      <c r="B194" s="2"/>
      <c r="C194" s="7">
        <f>IF($B194="","",IFERROR(INDEX('Meetings (MOM)'!$B$2:$B$201,MATCH($B194,'Meetings (MOM)'!$A$2:$A$201,0)),""))</f>
      </c>
      <c r="D194" s="5">
        <f>IF($B194="","",IFERROR(INDEX('Meetings (MOM)'!$C$2:$C$201,MATCH($B194,'Meetings (MOM)'!$A$2:$A$201,0)),""))</f>
      </c>
      <c r="E194" s="4"/>
      <c r="F194" s="2"/>
      <c r="G194" s="2"/>
      <c r="H194" s="2"/>
      <c r="I194" s="8"/>
      <c r="J194" s="8"/>
      <c r="K194" s="8"/>
      <c r="L194" s="2"/>
      <c r="M194" s="9"/>
      <c r="N194" s="8"/>
      <c r="O194" s="10">
        <f t="shared" ref="O194:O257" si="9">IF(OR($A194="",IF($K194="",$J194,$K194)=""),"",IF($L194="Completed",IF($N194="","",$N194-IF($K194="",$J194,$K194)),IF($L194="Cancelled","",TODAY()-IF($K194="",$J194,$K194))))</f>
      </c>
      <c r="P194" s="4"/>
      <c r="Q194" s="5">
        <f t="shared" ref="Q194:Q257" si="10">IF($A194="","",IF(OR($L194="Completed",$L194="Cancelled"),"Closed",IF(IF($K194="",$J194,$K194)="","Set deadline",IF(TODAY()&gt;IF($K194="",$J194,$K194),"OVERDUE - Escalate",IF(IF($K194="",$J194,$K194)-TODAY()&lt;=3,"Send Reminder","On Track")))))</f>
      </c>
      <c r="R194" s="4"/>
      <c r="S194" s="5">
        <f>IF($B194="","",$B194&amp;"-"&amp;COUNTIFS($B$2:$B194,$B194))</f>
      </c>
      <c r="T194" s="5">
        <f t="shared" ref="T194:T257" si="11">IF($A194="",0,IF(OR($L194="Completed",$L194="Cancelled"),0,IF(IF($K194="",$J194,$K194)="",0,IF(TODAY()&gt;IF($K194="",$J194,$K194),1,0))))</f>
        <v>0</v>
      </c>
    </row>
    <row r="195" ht="27.75" customHeight="1" spans="1:20" x14ac:dyDescent="0.25">
      <c r="A195" s="2"/>
      <c r="B195" s="2"/>
      <c r="C195" s="7">
        <f>IF($B195="","",IFERROR(INDEX('Meetings (MOM)'!$B$2:$B$201,MATCH($B195,'Meetings (MOM)'!$A$2:$A$201,0)),""))</f>
      </c>
      <c r="D195" s="5">
        <f>IF($B195="","",IFERROR(INDEX('Meetings (MOM)'!$C$2:$C$201,MATCH($B195,'Meetings (MOM)'!$A$2:$A$201,0)),""))</f>
      </c>
      <c r="E195" s="4"/>
      <c r="F195" s="2"/>
      <c r="G195" s="2"/>
      <c r="H195" s="2"/>
      <c r="I195" s="8"/>
      <c r="J195" s="8"/>
      <c r="K195" s="8"/>
      <c r="L195" s="2"/>
      <c r="M195" s="9"/>
      <c r="N195" s="8"/>
      <c r="O195" s="10">
        <f t="shared" si="9"/>
      </c>
      <c r="P195" s="4"/>
      <c r="Q195" s="5">
        <f t="shared" si="10"/>
      </c>
      <c r="R195" s="4"/>
      <c r="S195" s="5">
        <f>IF($B195="","",$B195&amp;"-"&amp;COUNTIFS($B$2:$B195,$B195))</f>
      </c>
      <c r="T195" s="5">
        <f t="shared" si="11"/>
        <v>0</v>
      </c>
    </row>
    <row r="196" ht="27.75" customHeight="1" spans="1:20" x14ac:dyDescent="0.25">
      <c r="A196" s="2"/>
      <c r="B196" s="2"/>
      <c r="C196" s="7">
        <f>IF($B196="","",IFERROR(INDEX('Meetings (MOM)'!$B$2:$B$201,MATCH($B196,'Meetings (MOM)'!$A$2:$A$201,0)),""))</f>
      </c>
      <c r="D196" s="5">
        <f>IF($B196="","",IFERROR(INDEX('Meetings (MOM)'!$C$2:$C$201,MATCH($B196,'Meetings (MOM)'!$A$2:$A$201,0)),""))</f>
      </c>
      <c r="E196" s="4"/>
      <c r="F196" s="2"/>
      <c r="G196" s="2"/>
      <c r="H196" s="2"/>
      <c r="I196" s="8"/>
      <c r="J196" s="8"/>
      <c r="K196" s="8"/>
      <c r="L196" s="2"/>
      <c r="M196" s="9"/>
      <c r="N196" s="8"/>
      <c r="O196" s="10">
        <f t="shared" si="9"/>
      </c>
      <c r="P196" s="4"/>
      <c r="Q196" s="5">
        <f t="shared" si="10"/>
      </c>
      <c r="R196" s="4"/>
      <c r="S196" s="5">
        <f>IF($B196="","",$B196&amp;"-"&amp;COUNTIFS($B$2:$B196,$B196))</f>
      </c>
      <c r="T196" s="5">
        <f t="shared" si="11"/>
        <v>0</v>
      </c>
    </row>
    <row r="197" ht="27.75" customHeight="1" spans="1:20" x14ac:dyDescent="0.25">
      <c r="A197" s="2"/>
      <c r="B197" s="2"/>
      <c r="C197" s="7">
        <f>IF($B197="","",IFERROR(INDEX('Meetings (MOM)'!$B$2:$B$201,MATCH($B197,'Meetings (MOM)'!$A$2:$A$201,0)),""))</f>
      </c>
      <c r="D197" s="5">
        <f>IF($B197="","",IFERROR(INDEX('Meetings (MOM)'!$C$2:$C$201,MATCH($B197,'Meetings (MOM)'!$A$2:$A$201,0)),""))</f>
      </c>
      <c r="E197" s="4"/>
      <c r="F197" s="2"/>
      <c r="G197" s="2"/>
      <c r="H197" s="2"/>
      <c r="I197" s="8"/>
      <c r="J197" s="8"/>
      <c r="K197" s="8"/>
      <c r="L197" s="2"/>
      <c r="M197" s="9"/>
      <c r="N197" s="8"/>
      <c r="O197" s="10">
        <f t="shared" si="9"/>
      </c>
      <c r="P197" s="4"/>
      <c r="Q197" s="5">
        <f t="shared" si="10"/>
      </c>
      <c r="R197" s="4"/>
      <c r="S197" s="5">
        <f>IF($B197="","",$B197&amp;"-"&amp;COUNTIFS($B$2:$B197,$B197))</f>
      </c>
      <c r="T197" s="5">
        <f t="shared" si="11"/>
        <v>0</v>
      </c>
    </row>
    <row r="198" ht="27.75" customHeight="1" spans="1:20" x14ac:dyDescent="0.25">
      <c r="A198" s="2"/>
      <c r="B198" s="2"/>
      <c r="C198" s="7">
        <f>IF($B198="","",IFERROR(INDEX('Meetings (MOM)'!$B$2:$B$201,MATCH($B198,'Meetings (MOM)'!$A$2:$A$201,0)),""))</f>
      </c>
      <c r="D198" s="5">
        <f>IF($B198="","",IFERROR(INDEX('Meetings (MOM)'!$C$2:$C$201,MATCH($B198,'Meetings (MOM)'!$A$2:$A$201,0)),""))</f>
      </c>
      <c r="E198" s="4"/>
      <c r="F198" s="2"/>
      <c r="G198" s="2"/>
      <c r="H198" s="2"/>
      <c r="I198" s="8"/>
      <c r="J198" s="8"/>
      <c r="K198" s="8"/>
      <c r="L198" s="2"/>
      <c r="M198" s="9"/>
      <c r="N198" s="8"/>
      <c r="O198" s="10">
        <f t="shared" si="9"/>
      </c>
      <c r="P198" s="4"/>
      <c r="Q198" s="5">
        <f t="shared" si="10"/>
      </c>
      <c r="R198" s="4"/>
      <c r="S198" s="5">
        <f>IF($B198="","",$B198&amp;"-"&amp;COUNTIFS($B$2:$B198,$B198))</f>
      </c>
      <c r="T198" s="5">
        <f t="shared" si="11"/>
        <v>0</v>
      </c>
    </row>
    <row r="199" ht="27.75" customHeight="1" spans="1:20" x14ac:dyDescent="0.25">
      <c r="A199" s="2"/>
      <c r="B199" s="2"/>
      <c r="C199" s="7">
        <f>IF($B199="","",IFERROR(INDEX('Meetings (MOM)'!$B$2:$B$201,MATCH($B199,'Meetings (MOM)'!$A$2:$A$201,0)),""))</f>
      </c>
      <c r="D199" s="5">
        <f>IF($B199="","",IFERROR(INDEX('Meetings (MOM)'!$C$2:$C$201,MATCH($B199,'Meetings (MOM)'!$A$2:$A$201,0)),""))</f>
      </c>
      <c r="E199" s="4"/>
      <c r="F199" s="2"/>
      <c r="G199" s="2"/>
      <c r="H199" s="2"/>
      <c r="I199" s="8"/>
      <c r="J199" s="8"/>
      <c r="K199" s="8"/>
      <c r="L199" s="2"/>
      <c r="M199" s="9"/>
      <c r="N199" s="8"/>
      <c r="O199" s="10">
        <f t="shared" si="9"/>
      </c>
      <c r="P199" s="4"/>
      <c r="Q199" s="5">
        <f t="shared" si="10"/>
      </c>
      <c r="R199" s="4"/>
      <c r="S199" s="5">
        <f>IF($B199="","",$B199&amp;"-"&amp;COUNTIFS($B$2:$B199,$B199))</f>
      </c>
      <c r="T199" s="5">
        <f t="shared" si="11"/>
        <v>0</v>
      </c>
    </row>
    <row r="200" ht="27.75" customHeight="1" spans="1:20" x14ac:dyDescent="0.25">
      <c r="A200" s="2"/>
      <c r="B200" s="2"/>
      <c r="C200" s="7">
        <f>IF($B200="","",IFERROR(INDEX('Meetings (MOM)'!$B$2:$B$201,MATCH($B200,'Meetings (MOM)'!$A$2:$A$201,0)),""))</f>
      </c>
      <c r="D200" s="5">
        <f>IF($B200="","",IFERROR(INDEX('Meetings (MOM)'!$C$2:$C$201,MATCH($B200,'Meetings (MOM)'!$A$2:$A$201,0)),""))</f>
      </c>
      <c r="E200" s="4"/>
      <c r="F200" s="2"/>
      <c r="G200" s="2"/>
      <c r="H200" s="2"/>
      <c r="I200" s="8"/>
      <c r="J200" s="8"/>
      <c r="K200" s="8"/>
      <c r="L200" s="2"/>
      <c r="M200" s="9"/>
      <c r="N200" s="8"/>
      <c r="O200" s="10">
        <f t="shared" si="9"/>
      </c>
      <c r="P200" s="4"/>
      <c r="Q200" s="5">
        <f t="shared" si="10"/>
      </c>
      <c r="R200" s="4"/>
      <c r="S200" s="5">
        <f>IF($B200="","",$B200&amp;"-"&amp;COUNTIFS($B$2:$B200,$B200))</f>
      </c>
      <c r="T200" s="5">
        <f t="shared" si="11"/>
        <v>0</v>
      </c>
    </row>
    <row r="201" ht="27.75" customHeight="1" spans="1:20" x14ac:dyDescent="0.25">
      <c r="A201" s="2"/>
      <c r="B201" s="2"/>
      <c r="C201" s="7">
        <f>IF($B201="","",IFERROR(INDEX('Meetings (MOM)'!$B$2:$B$201,MATCH($B201,'Meetings (MOM)'!$A$2:$A$201,0)),""))</f>
      </c>
      <c r="D201" s="5">
        <f>IF($B201="","",IFERROR(INDEX('Meetings (MOM)'!$C$2:$C$201,MATCH($B201,'Meetings (MOM)'!$A$2:$A$201,0)),""))</f>
      </c>
      <c r="E201" s="4"/>
      <c r="F201" s="2"/>
      <c r="G201" s="2"/>
      <c r="H201" s="2"/>
      <c r="I201" s="8"/>
      <c r="J201" s="8"/>
      <c r="K201" s="8"/>
      <c r="L201" s="2"/>
      <c r="M201" s="9"/>
      <c r="N201" s="8"/>
      <c r="O201" s="10">
        <f t="shared" si="9"/>
      </c>
      <c r="P201" s="4"/>
      <c r="Q201" s="5">
        <f t="shared" si="10"/>
      </c>
      <c r="R201" s="4"/>
      <c r="S201" s="5">
        <f>IF($B201="","",$B201&amp;"-"&amp;COUNTIFS($B$2:$B201,$B201))</f>
      </c>
      <c r="T201" s="5">
        <f t="shared" si="11"/>
        <v>0</v>
      </c>
    </row>
    <row r="202" ht="27.75" customHeight="1" spans="1:20" x14ac:dyDescent="0.25">
      <c r="A202" s="2"/>
      <c r="B202" s="2"/>
      <c r="C202" s="7">
        <f>IF($B202="","",IFERROR(INDEX('Meetings (MOM)'!$B$2:$B$201,MATCH($B202,'Meetings (MOM)'!$A$2:$A$201,0)),""))</f>
      </c>
      <c r="D202" s="5">
        <f>IF($B202="","",IFERROR(INDEX('Meetings (MOM)'!$C$2:$C$201,MATCH($B202,'Meetings (MOM)'!$A$2:$A$201,0)),""))</f>
      </c>
      <c r="E202" s="4"/>
      <c r="F202" s="2"/>
      <c r="G202" s="2"/>
      <c r="H202" s="2"/>
      <c r="I202" s="8"/>
      <c r="J202" s="8"/>
      <c r="K202" s="8"/>
      <c r="L202" s="2"/>
      <c r="M202" s="9"/>
      <c r="N202" s="8"/>
      <c r="O202" s="10">
        <f t="shared" si="9"/>
      </c>
      <c r="P202" s="4"/>
      <c r="Q202" s="5">
        <f t="shared" si="10"/>
      </c>
      <c r="R202" s="4"/>
      <c r="S202" s="5">
        <f>IF($B202="","",$B202&amp;"-"&amp;COUNTIFS($B$2:$B202,$B202))</f>
      </c>
      <c r="T202" s="5">
        <f t="shared" si="11"/>
        <v>0</v>
      </c>
    </row>
    <row r="203" ht="27.75" customHeight="1" spans="1:20" x14ac:dyDescent="0.25">
      <c r="A203" s="2"/>
      <c r="B203" s="2"/>
      <c r="C203" s="7">
        <f>IF($B203="","",IFERROR(INDEX('Meetings (MOM)'!$B$2:$B$201,MATCH($B203,'Meetings (MOM)'!$A$2:$A$201,0)),""))</f>
      </c>
      <c r="D203" s="5">
        <f>IF($B203="","",IFERROR(INDEX('Meetings (MOM)'!$C$2:$C$201,MATCH($B203,'Meetings (MOM)'!$A$2:$A$201,0)),""))</f>
      </c>
      <c r="E203" s="4"/>
      <c r="F203" s="2"/>
      <c r="G203" s="2"/>
      <c r="H203" s="2"/>
      <c r="I203" s="8"/>
      <c r="J203" s="8"/>
      <c r="K203" s="8"/>
      <c r="L203" s="2"/>
      <c r="M203" s="9"/>
      <c r="N203" s="8"/>
      <c r="O203" s="10">
        <f t="shared" si="9"/>
      </c>
      <c r="P203" s="4"/>
      <c r="Q203" s="5">
        <f t="shared" si="10"/>
      </c>
      <c r="R203" s="4"/>
      <c r="S203" s="5">
        <f>IF($B203="","",$B203&amp;"-"&amp;COUNTIFS($B$2:$B203,$B203))</f>
      </c>
      <c r="T203" s="5">
        <f t="shared" si="11"/>
        <v>0</v>
      </c>
    </row>
    <row r="204" ht="27.75" customHeight="1" spans="1:20" x14ac:dyDescent="0.25">
      <c r="A204" s="2"/>
      <c r="B204" s="2"/>
      <c r="C204" s="7">
        <f>IF($B204="","",IFERROR(INDEX('Meetings (MOM)'!$B$2:$B$201,MATCH($B204,'Meetings (MOM)'!$A$2:$A$201,0)),""))</f>
      </c>
      <c r="D204" s="5">
        <f>IF($B204="","",IFERROR(INDEX('Meetings (MOM)'!$C$2:$C$201,MATCH($B204,'Meetings (MOM)'!$A$2:$A$201,0)),""))</f>
      </c>
      <c r="E204" s="4"/>
      <c r="F204" s="2"/>
      <c r="G204" s="2"/>
      <c r="H204" s="2"/>
      <c r="I204" s="8"/>
      <c r="J204" s="8"/>
      <c r="K204" s="8"/>
      <c r="L204" s="2"/>
      <c r="M204" s="9"/>
      <c r="N204" s="8"/>
      <c r="O204" s="10">
        <f t="shared" si="9"/>
      </c>
      <c r="P204" s="4"/>
      <c r="Q204" s="5">
        <f t="shared" si="10"/>
      </c>
      <c r="R204" s="4"/>
      <c r="S204" s="5">
        <f>IF($B204="","",$B204&amp;"-"&amp;COUNTIFS($B$2:$B204,$B204))</f>
      </c>
      <c r="T204" s="5">
        <f t="shared" si="11"/>
        <v>0</v>
      </c>
    </row>
    <row r="205" ht="27.75" customHeight="1" spans="1:20" x14ac:dyDescent="0.25">
      <c r="A205" s="2"/>
      <c r="B205" s="2"/>
      <c r="C205" s="7">
        <f>IF($B205="","",IFERROR(INDEX('Meetings (MOM)'!$B$2:$B$201,MATCH($B205,'Meetings (MOM)'!$A$2:$A$201,0)),""))</f>
      </c>
      <c r="D205" s="5">
        <f>IF($B205="","",IFERROR(INDEX('Meetings (MOM)'!$C$2:$C$201,MATCH($B205,'Meetings (MOM)'!$A$2:$A$201,0)),""))</f>
      </c>
      <c r="E205" s="4"/>
      <c r="F205" s="2"/>
      <c r="G205" s="2"/>
      <c r="H205" s="2"/>
      <c r="I205" s="8"/>
      <c r="J205" s="8"/>
      <c r="K205" s="8"/>
      <c r="L205" s="2"/>
      <c r="M205" s="9"/>
      <c r="N205" s="8"/>
      <c r="O205" s="10">
        <f t="shared" si="9"/>
      </c>
      <c r="P205" s="4"/>
      <c r="Q205" s="5">
        <f t="shared" si="10"/>
      </c>
      <c r="R205" s="4"/>
      <c r="S205" s="5">
        <f>IF($B205="","",$B205&amp;"-"&amp;COUNTIFS($B$2:$B205,$B205))</f>
      </c>
      <c r="T205" s="5">
        <f t="shared" si="11"/>
        <v>0</v>
      </c>
    </row>
    <row r="206" ht="27.75" customHeight="1" spans="1:20" x14ac:dyDescent="0.25">
      <c r="A206" s="2"/>
      <c r="B206" s="2"/>
      <c r="C206" s="7">
        <f>IF($B206="","",IFERROR(INDEX('Meetings (MOM)'!$B$2:$B$201,MATCH($B206,'Meetings (MOM)'!$A$2:$A$201,0)),""))</f>
      </c>
      <c r="D206" s="5">
        <f>IF($B206="","",IFERROR(INDEX('Meetings (MOM)'!$C$2:$C$201,MATCH($B206,'Meetings (MOM)'!$A$2:$A$201,0)),""))</f>
      </c>
      <c r="E206" s="4"/>
      <c r="F206" s="2"/>
      <c r="G206" s="2"/>
      <c r="H206" s="2"/>
      <c r="I206" s="8"/>
      <c r="J206" s="8"/>
      <c r="K206" s="8"/>
      <c r="L206" s="2"/>
      <c r="M206" s="9"/>
      <c r="N206" s="8"/>
      <c r="O206" s="10">
        <f t="shared" si="9"/>
      </c>
      <c r="P206" s="4"/>
      <c r="Q206" s="5">
        <f t="shared" si="10"/>
      </c>
      <c r="R206" s="4"/>
      <c r="S206" s="5">
        <f>IF($B206="","",$B206&amp;"-"&amp;COUNTIFS($B$2:$B206,$B206))</f>
      </c>
      <c r="T206" s="5">
        <f t="shared" si="11"/>
        <v>0</v>
      </c>
    </row>
    <row r="207" ht="27.75" customHeight="1" spans="1:20" x14ac:dyDescent="0.25">
      <c r="A207" s="2"/>
      <c r="B207" s="2"/>
      <c r="C207" s="7">
        <f>IF($B207="","",IFERROR(INDEX('Meetings (MOM)'!$B$2:$B$201,MATCH($B207,'Meetings (MOM)'!$A$2:$A$201,0)),""))</f>
      </c>
      <c r="D207" s="5">
        <f>IF($B207="","",IFERROR(INDEX('Meetings (MOM)'!$C$2:$C$201,MATCH($B207,'Meetings (MOM)'!$A$2:$A$201,0)),""))</f>
      </c>
      <c r="E207" s="4"/>
      <c r="F207" s="2"/>
      <c r="G207" s="2"/>
      <c r="H207" s="2"/>
      <c r="I207" s="8"/>
      <c r="J207" s="8"/>
      <c r="K207" s="8"/>
      <c r="L207" s="2"/>
      <c r="M207" s="9"/>
      <c r="N207" s="8"/>
      <c r="O207" s="10">
        <f t="shared" si="9"/>
      </c>
      <c r="P207" s="4"/>
      <c r="Q207" s="5">
        <f t="shared" si="10"/>
      </c>
      <c r="R207" s="4"/>
      <c r="S207" s="5">
        <f>IF($B207="","",$B207&amp;"-"&amp;COUNTIFS($B$2:$B207,$B207))</f>
      </c>
      <c r="T207" s="5">
        <f t="shared" si="11"/>
        <v>0</v>
      </c>
    </row>
    <row r="208" ht="27.75" customHeight="1" spans="1:20" x14ac:dyDescent="0.25">
      <c r="A208" s="2"/>
      <c r="B208" s="2"/>
      <c r="C208" s="7">
        <f>IF($B208="","",IFERROR(INDEX('Meetings (MOM)'!$B$2:$B$201,MATCH($B208,'Meetings (MOM)'!$A$2:$A$201,0)),""))</f>
      </c>
      <c r="D208" s="5">
        <f>IF($B208="","",IFERROR(INDEX('Meetings (MOM)'!$C$2:$C$201,MATCH($B208,'Meetings (MOM)'!$A$2:$A$201,0)),""))</f>
      </c>
      <c r="E208" s="4"/>
      <c r="F208" s="2"/>
      <c r="G208" s="2"/>
      <c r="H208" s="2"/>
      <c r="I208" s="8"/>
      <c r="J208" s="8"/>
      <c r="K208" s="8"/>
      <c r="L208" s="2"/>
      <c r="M208" s="9"/>
      <c r="N208" s="8"/>
      <c r="O208" s="10">
        <f t="shared" si="9"/>
      </c>
      <c r="P208" s="4"/>
      <c r="Q208" s="5">
        <f t="shared" si="10"/>
      </c>
      <c r="R208" s="4"/>
      <c r="S208" s="5">
        <f>IF($B208="","",$B208&amp;"-"&amp;COUNTIFS($B$2:$B208,$B208))</f>
      </c>
      <c r="T208" s="5">
        <f t="shared" si="11"/>
        <v>0</v>
      </c>
    </row>
    <row r="209" ht="27.75" customHeight="1" spans="1:20" x14ac:dyDescent="0.25">
      <c r="A209" s="2"/>
      <c r="B209" s="2"/>
      <c r="C209" s="7">
        <f>IF($B209="","",IFERROR(INDEX('Meetings (MOM)'!$B$2:$B$201,MATCH($B209,'Meetings (MOM)'!$A$2:$A$201,0)),""))</f>
      </c>
      <c r="D209" s="5">
        <f>IF($B209="","",IFERROR(INDEX('Meetings (MOM)'!$C$2:$C$201,MATCH($B209,'Meetings (MOM)'!$A$2:$A$201,0)),""))</f>
      </c>
      <c r="E209" s="4"/>
      <c r="F209" s="2"/>
      <c r="G209" s="2"/>
      <c r="H209" s="2"/>
      <c r="I209" s="8"/>
      <c r="J209" s="8"/>
      <c r="K209" s="8"/>
      <c r="L209" s="2"/>
      <c r="M209" s="9"/>
      <c r="N209" s="8"/>
      <c r="O209" s="10">
        <f t="shared" si="9"/>
      </c>
      <c r="P209" s="4"/>
      <c r="Q209" s="5">
        <f t="shared" si="10"/>
      </c>
      <c r="R209" s="4"/>
      <c r="S209" s="5">
        <f>IF($B209="","",$B209&amp;"-"&amp;COUNTIFS($B$2:$B209,$B209))</f>
      </c>
      <c r="T209" s="5">
        <f t="shared" si="11"/>
        <v>0</v>
      </c>
    </row>
    <row r="210" ht="27.75" customHeight="1" spans="1:20" x14ac:dyDescent="0.25">
      <c r="A210" s="2"/>
      <c r="B210" s="2"/>
      <c r="C210" s="7">
        <f>IF($B210="","",IFERROR(INDEX('Meetings (MOM)'!$B$2:$B$201,MATCH($B210,'Meetings (MOM)'!$A$2:$A$201,0)),""))</f>
      </c>
      <c r="D210" s="5">
        <f>IF($B210="","",IFERROR(INDEX('Meetings (MOM)'!$C$2:$C$201,MATCH($B210,'Meetings (MOM)'!$A$2:$A$201,0)),""))</f>
      </c>
      <c r="E210" s="4"/>
      <c r="F210" s="2"/>
      <c r="G210" s="2"/>
      <c r="H210" s="2"/>
      <c r="I210" s="8"/>
      <c r="J210" s="8"/>
      <c r="K210" s="8"/>
      <c r="L210" s="2"/>
      <c r="M210" s="9"/>
      <c r="N210" s="8"/>
      <c r="O210" s="10">
        <f t="shared" si="9"/>
      </c>
      <c r="P210" s="4"/>
      <c r="Q210" s="5">
        <f t="shared" si="10"/>
      </c>
      <c r="R210" s="4"/>
      <c r="S210" s="5">
        <f>IF($B210="","",$B210&amp;"-"&amp;COUNTIFS($B$2:$B210,$B210))</f>
      </c>
      <c r="T210" s="5">
        <f t="shared" si="11"/>
        <v>0</v>
      </c>
    </row>
    <row r="211" ht="27.75" customHeight="1" spans="1:20" x14ac:dyDescent="0.25">
      <c r="A211" s="2"/>
      <c r="B211" s="2"/>
      <c r="C211" s="7">
        <f>IF($B211="","",IFERROR(INDEX('Meetings (MOM)'!$B$2:$B$201,MATCH($B211,'Meetings (MOM)'!$A$2:$A$201,0)),""))</f>
      </c>
      <c r="D211" s="5">
        <f>IF($B211="","",IFERROR(INDEX('Meetings (MOM)'!$C$2:$C$201,MATCH($B211,'Meetings (MOM)'!$A$2:$A$201,0)),""))</f>
      </c>
      <c r="E211" s="4"/>
      <c r="F211" s="2"/>
      <c r="G211" s="2"/>
      <c r="H211" s="2"/>
      <c r="I211" s="8"/>
      <c r="J211" s="8"/>
      <c r="K211" s="8"/>
      <c r="L211" s="2"/>
      <c r="M211" s="9"/>
      <c r="N211" s="8"/>
      <c r="O211" s="10">
        <f t="shared" si="9"/>
      </c>
      <c r="P211" s="4"/>
      <c r="Q211" s="5">
        <f t="shared" si="10"/>
      </c>
      <c r="R211" s="4"/>
      <c r="S211" s="5">
        <f>IF($B211="","",$B211&amp;"-"&amp;COUNTIFS($B$2:$B211,$B211))</f>
      </c>
      <c r="T211" s="5">
        <f t="shared" si="11"/>
        <v>0</v>
      </c>
    </row>
    <row r="212" ht="27.75" customHeight="1" spans="1:20" x14ac:dyDescent="0.25">
      <c r="A212" s="2"/>
      <c r="B212" s="2"/>
      <c r="C212" s="7">
        <f>IF($B212="","",IFERROR(INDEX('Meetings (MOM)'!$B$2:$B$201,MATCH($B212,'Meetings (MOM)'!$A$2:$A$201,0)),""))</f>
      </c>
      <c r="D212" s="5">
        <f>IF($B212="","",IFERROR(INDEX('Meetings (MOM)'!$C$2:$C$201,MATCH($B212,'Meetings (MOM)'!$A$2:$A$201,0)),""))</f>
      </c>
      <c r="E212" s="4"/>
      <c r="F212" s="2"/>
      <c r="G212" s="2"/>
      <c r="H212" s="2"/>
      <c r="I212" s="8"/>
      <c r="J212" s="8"/>
      <c r="K212" s="8"/>
      <c r="L212" s="2"/>
      <c r="M212" s="9"/>
      <c r="N212" s="8"/>
      <c r="O212" s="10">
        <f t="shared" si="9"/>
      </c>
      <c r="P212" s="4"/>
      <c r="Q212" s="5">
        <f t="shared" si="10"/>
      </c>
      <c r="R212" s="4"/>
      <c r="S212" s="5">
        <f>IF($B212="","",$B212&amp;"-"&amp;COUNTIFS($B$2:$B212,$B212))</f>
      </c>
      <c r="T212" s="5">
        <f t="shared" si="11"/>
        <v>0</v>
      </c>
    </row>
    <row r="213" ht="27.75" customHeight="1" spans="1:20" x14ac:dyDescent="0.25">
      <c r="A213" s="2"/>
      <c r="B213" s="2"/>
      <c r="C213" s="7">
        <f>IF($B213="","",IFERROR(INDEX('Meetings (MOM)'!$B$2:$B$201,MATCH($B213,'Meetings (MOM)'!$A$2:$A$201,0)),""))</f>
      </c>
      <c r="D213" s="5">
        <f>IF($B213="","",IFERROR(INDEX('Meetings (MOM)'!$C$2:$C$201,MATCH($B213,'Meetings (MOM)'!$A$2:$A$201,0)),""))</f>
      </c>
      <c r="E213" s="4"/>
      <c r="F213" s="2"/>
      <c r="G213" s="2"/>
      <c r="H213" s="2"/>
      <c r="I213" s="8"/>
      <c r="J213" s="8"/>
      <c r="K213" s="8"/>
      <c r="L213" s="2"/>
      <c r="M213" s="9"/>
      <c r="N213" s="8"/>
      <c r="O213" s="10">
        <f t="shared" si="9"/>
      </c>
      <c r="P213" s="4"/>
      <c r="Q213" s="5">
        <f t="shared" si="10"/>
      </c>
      <c r="R213" s="4"/>
      <c r="S213" s="5">
        <f>IF($B213="","",$B213&amp;"-"&amp;COUNTIFS($B$2:$B213,$B213))</f>
      </c>
      <c r="T213" s="5">
        <f t="shared" si="11"/>
        <v>0</v>
      </c>
    </row>
    <row r="214" ht="27.75" customHeight="1" spans="1:20" x14ac:dyDescent="0.25">
      <c r="A214" s="2"/>
      <c r="B214" s="2"/>
      <c r="C214" s="7">
        <f>IF($B214="","",IFERROR(INDEX('Meetings (MOM)'!$B$2:$B$201,MATCH($B214,'Meetings (MOM)'!$A$2:$A$201,0)),""))</f>
      </c>
      <c r="D214" s="5">
        <f>IF($B214="","",IFERROR(INDEX('Meetings (MOM)'!$C$2:$C$201,MATCH($B214,'Meetings (MOM)'!$A$2:$A$201,0)),""))</f>
      </c>
      <c r="E214" s="4"/>
      <c r="F214" s="2"/>
      <c r="G214" s="2"/>
      <c r="H214" s="2"/>
      <c r="I214" s="8"/>
      <c r="J214" s="8"/>
      <c r="K214" s="8"/>
      <c r="L214" s="2"/>
      <c r="M214" s="9"/>
      <c r="N214" s="8"/>
      <c r="O214" s="10">
        <f t="shared" si="9"/>
      </c>
      <c r="P214" s="4"/>
      <c r="Q214" s="5">
        <f t="shared" si="10"/>
      </c>
      <c r="R214" s="4"/>
      <c r="S214" s="5">
        <f>IF($B214="","",$B214&amp;"-"&amp;COUNTIFS($B$2:$B214,$B214))</f>
      </c>
      <c r="T214" s="5">
        <f t="shared" si="11"/>
        <v>0</v>
      </c>
    </row>
    <row r="215" ht="27.75" customHeight="1" spans="1:20" x14ac:dyDescent="0.25">
      <c r="A215" s="2"/>
      <c r="B215" s="2"/>
      <c r="C215" s="7">
        <f>IF($B215="","",IFERROR(INDEX('Meetings (MOM)'!$B$2:$B$201,MATCH($B215,'Meetings (MOM)'!$A$2:$A$201,0)),""))</f>
      </c>
      <c r="D215" s="5">
        <f>IF($B215="","",IFERROR(INDEX('Meetings (MOM)'!$C$2:$C$201,MATCH($B215,'Meetings (MOM)'!$A$2:$A$201,0)),""))</f>
      </c>
      <c r="E215" s="4"/>
      <c r="F215" s="2"/>
      <c r="G215" s="2"/>
      <c r="H215" s="2"/>
      <c r="I215" s="8"/>
      <c r="J215" s="8"/>
      <c r="K215" s="8"/>
      <c r="L215" s="2"/>
      <c r="M215" s="9"/>
      <c r="N215" s="8"/>
      <c r="O215" s="10">
        <f t="shared" si="9"/>
      </c>
      <c r="P215" s="4"/>
      <c r="Q215" s="5">
        <f t="shared" si="10"/>
      </c>
      <c r="R215" s="4"/>
      <c r="S215" s="5">
        <f>IF($B215="","",$B215&amp;"-"&amp;COUNTIFS($B$2:$B215,$B215))</f>
      </c>
      <c r="T215" s="5">
        <f t="shared" si="11"/>
        <v>0</v>
      </c>
    </row>
    <row r="216" ht="27.75" customHeight="1" spans="1:20" x14ac:dyDescent="0.25">
      <c r="A216" s="2"/>
      <c r="B216" s="2"/>
      <c r="C216" s="7">
        <f>IF($B216="","",IFERROR(INDEX('Meetings (MOM)'!$B$2:$B$201,MATCH($B216,'Meetings (MOM)'!$A$2:$A$201,0)),""))</f>
      </c>
      <c r="D216" s="5">
        <f>IF($B216="","",IFERROR(INDEX('Meetings (MOM)'!$C$2:$C$201,MATCH($B216,'Meetings (MOM)'!$A$2:$A$201,0)),""))</f>
      </c>
      <c r="E216" s="4"/>
      <c r="F216" s="2"/>
      <c r="G216" s="2"/>
      <c r="H216" s="2"/>
      <c r="I216" s="8"/>
      <c r="J216" s="8"/>
      <c r="K216" s="8"/>
      <c r="L216" s="2"/>
      <c r="M216" s="9"/>
      <c r="N216" s="8"/>
      <c r="O216" s="10">
        <f t="shared" si="9"/>
      </c>
      <c r="P216" s="4"/>
      <c r="Q216" s="5">
        <f t="shared" si="10"/>
      </c>
      <c r="R216" s="4"/>
      <c r="S216" s="5">
        <f>IF($B216="","",$B216&amp;"-"&amp;COUNTIFS($B$2:$B216,$B216))</f>
      </c>
      <c r="T216" s="5">
        <f t="shared" si="11"/>
        <v>0</v>
      </c>
    </row>
    <row r="217" ht="27.75" customHeight="1" spans="1:20" x14ac:dyDescent="0.25">
      <c r="A217" s="2"/>
      <c r="B217" s="2"/>
      <c r="C217" s="7">
        <f>IF($B217="","",IFERROR(INDEX('Meetings (MOM)'!$B$2:$B$201,MATCH($B217,'Meetings (MOM)'!$A$2:$A$201,0)),""))</f>
      </c>
      <c r="D217" s="5">
        <f>IF($B217="","",IFERROR(INDEX('Meetings (MOM)'!$C$2:$C$201,MATCH($B217,'Meetings (MOM)'!$A$2:$A$201,0)),""))</f>
      </c>
      <c r="E217" s="4"/>
      <c r="F217" s="2"/>
      <c r="G217" s="2"/>
      <c r="H217" s="2"/>
      <c r="I217" s="8"/>
      <c r="J217" s="8"/>
      <c r="K217" s="8"/>
      <c r="L217" s="2"/>
      <c r="M217" s="9"/>
      <c r="N217" s="8"/>
      <c r="O217" s="10">
        <f t="shared" si="9"/>
      </c>
      <c r="P217" s="4"/>
      <c r="Q217" s="5">
        <f t="shared" si="10"/>
      </c>
      <c r="R217" s="4"/>
      <c r="S217" s="5">
        <f>IF($B217="","",$B217&amp;"-"&amp;COUNTIFS($B$2:$B217,$B217))</f>
      </c>
      <c r="T217" s="5">
        <f t="shared" si="11"/>
        <v>0</v>
      </c>
    </row>
    <row r="218" ht="27.75" customHeight="1" spans="1:20" x14ac:dyDescent="0.25">
      <c r="A218" s="2"/>
      <c r="B218" s="2"/>
      <c r="C218" s="7">
        <f>IF($B218="","",IFERROR(INDEX('Meetings (MOM)'!$B$2:$B$201,MATCH($B218,'Meetings (MOM)'!$A$2:$A$201,0)),""))</f>
      </c>
      <c r="D218" s="5">
        <f>IF($B218="","",IFERROR(INDEX('Meetings (MOM)'!$C$2:$C$201,MATCH($B218,'Meetings (MOM)'!$A$2:$A$201,0)),""))</f>
      </c>
      <c r="E218" s="4"/>
      <c r="F218" s="2"/>
      <c r="G218" s="2"/>
      <c r="H218" s="2"/>
      <c r="I218" s="8"/>
      <c r="J218" s="8"/>
      <c r="K218" s="8"/>
      <c r="L218" s="2"/>
      <c r="M218" s="9"/>
      <c r="N218" s="8"/>
      <c r="O218" s="10">
        <f t="shared" si="9"/>
      </c>
      <c r="P218" s="4"/>
      <c r="Q218" s="5">
        <f t="shared" si="10"/>
      </c>
      <c r="R218" s="4"/>
      <c r="S218" s="5">
        <f>IF($B218="","",$B218&amp;"-"&amp;COUNTIFS($B$2:$B218,$B218))</f>
      </c>
      <c r="T218" s="5">
        <f t="shared" si="11"/>
        <v>0</v>
      </c>
    </row>
    <row r="219" ht="27.75" customHeight="1" spans="1:20" x14ac:dyDescent="0.25">
      <c r="A219" s="2"/>
      <c r="B219" s="2"/>
      <c r="C219" s="7">
        <f>IF($B219="","",IFERROR(INDEX('Meetings (MOM)'!$B$2:$B$201,MATCH($B219,'Meetings (MOM)'!$A$2:$A$201,0)),""))</f>
      </c>
      <c r="D219" s="5">
        <f>IF($B219="","",IFERROR(INDEX('Meetings (MOM)'!$C$2:$C$201,MATCH($B219,'Meetings (MOM)'!$A$2:$A$201,0)),""))</f>
      </c>
      <c r="E219" s="4"/>
      <c r="F219" s="2"/>
      <c r="G219" s="2"/>
      <c r="H219" s="2"/>
      <c r="I219" s="8"/>
      <c r="J219" s="8"/>
      <c r="K219" s="8"/>
      <c r="L219" s="2"/>
      <c r="M219" s="9"/>
      <c r="N219" s="8"/>
      <c r="O219" s="10">
        <f t="shared" si="9"/>
      </c>
      <c r="P219" s="4"/>
      <c r="Q219" s="5">
        <f t="shared" si="10"/>
      </c>
      <c r="R219" s="4"/>
      <c r="S219" s="5">
        <f>IF($B219="","",$B219&amp;"-"&amp;COUNTIFS($B$2:$B219,$B219))</f>
      </c>
      <c r="T219" s="5">
        <f t="shared" si="11"/>
        <v>0</v>
      </c>
    </row>
    <row r="220" ht="27.75" customHeight="1" spans="1:20" x14ac:dyDescent="0.25">
      <c r="A220" s="2"/>
      <c r="B220" s="2"/>
      <c r="C220" s="7">
        <f>IF($B220="","",IFERROR(INDEX('Meetings (MOM)'!$B$2:$B$201,MATCH($B220,'Meetings (MOM)'!$A$2:$A$201,0)),""))</f>
      </c>
      <c r="D220" s="5">
        <f>IF($B220="","",IFERROR(INDEX('Meetings (MOM)'!$C$2:$C$201,MATCH($B220,'Meetings (MOM)'!$A$2:$A$201,0)),""))</f>
      </c>
      <c r="E220" s="4"/>
      <c r="F220" s="2"/>
      <c r="G220" s="2"/>
      <c r="H220" s="2"/>
      <c r="I220" s="8"/>
      <c r="J220" s="8"/>
      <c r="K220" s="8"/>
      <c r="L220" s="2"/>
      <c r="M220" s="9"/>
      <c r="N220" s="8"/>
      <c r="O220" s="10">
        <f t="shared" si="9"/>
      </c>
      <c r="P220" s="4"/>
      <c r="Q220" s="5">
        <f t="shared" si="10"/>
      </c>
      <c r="R220" s="4"/>
      <c r="S220" s="5">
        <f>IF($B220="","",$B220&amp;"-"&amp;COUNTIFS($B$2:$B220,$B220))</f>
      </c>
      <c r="T220" s="5">
        <f t="shared" si="11"/>
        <v>0</v>
      </c>
    </row>
    <row r="221" ht="27.75" customHeight="1" spans="1:20" x14ac:dyDescent="0.25">
      <c r="A221" s="2"/>
      <c r="B221" s="2"/>
      <c r="C221" s="7">
        <f>IF($B221="","",IFERROR(INDEX('Meetings (MOM)'!$B$2:$B$201,MATCH($B221,'Meetings (MOM)'!$A$2:$A$201,0)),""))</f>
      </c>
      <c r="D221" s="5">
        <f>IF($B221="","",IFERROR(INDEX('Meetings (MOM)'!$C$2:$C$201,MATCH($B221,'Meetings (MOM)'!$A$2:$A$201,0)),""))</f>
      </c>
      <c r="E221" s="4"/>
      <c r="F221" s="2"/>
      <c r="G221" s="2"/>
      <c r="H221" s="2"/>
      <c r="I221" s="8"/>
      <c r="J221" s="8"/>
      <c r="K221" s="8"/>
      <c r="L221" s="2"/>
      <c r="M221" s="9"/>
      <c r="N221" s="8"/>
      <c r="O221" s="10">
        <f t="shared" si="9"/>
      </c>
      <c r="P221" s="4"/>
      <c r="Q221" s="5">
        <f t="shared" si="10"/>
      </c>
      <c r="R221" s="4"/>
      <c r="S221" s="5">
        <f>IF($B221="","",$B221&amp;"-"&amp;COUNTIFS($B$2:$B221,$B221))</f>
      </c>
      <c r="T221" s="5">
        <f t="shared" si="11"/>
        <v>0</v>
      </c>
    </row>
    <row r="222" ht="27.75" customHeight="1" spans="1:20" x14ac:dyDescent="0.25">
      <c r="A222" s="2"/>
      <c r="B222" s="2"/>
      <c r="C222" s="7">
        <f>IF($B222="","",IFERROR(INDEX('Meetings (MOM)'!$B$2:$B$201,MATCH($B222,'Meetings (MOM)'!$A$2:$A$201,0)),""))</f>
      </c>
      <c r="D222" s="5">
        <f>IF($B222="","",IFERROR(INDEX('Meetings (MOM)'!$C$2:$C$201,MATCH($B222,'Meetings (MOM)'!$A$2:$A$201,0)),""))</f>
      </c>
      <c r="E222" s="4"/>
      <c r="F222" s="2"/>
      <c r="G222" s="2"/>
      <c r="H222" s="2"/>
      <c r="I222" s="8"/>
      <c r="J222" s="8"/>
      <c r="K222" s="8"/>
      <c r="L222" s="2"/>
      <c r="M222" s="9"/>
      <c r="N222" s="8"/>
      <c r="O222" s="10">
        <f t="shared" si="9"/>
      </c>
      <c r="P222" s="4"/>
      <c r="Q222" s="5">
        <f t="shared" si="10"/>
      </c>
      <c r="R222" s="4"/>
      <c r="S222" s="5">
        <f>IF($B222="","",$B222&amp;"-"&amp;COUNTIFS($B$2:$B222,$B222))</f>
      </c>
      <c r="T222" s="5">
        <f t="shared" si="11"/>
        <v>0</v>
      </c>
    </row>
    <row r="223" ht="27.75" customHeight="1" spans="1:20" x14ac:dyDescent="0.25">
      <c r="A223" s="2"/>
      <c r="B223" s="2"/>
      <c r="C223" s="7">
        <f>IF($B223="","",IFERROR(INDEX('Meetings (MOM)'!$B$2:$B$201,MATCH($B223,'Meetings (MOM)'!$A$2:$A$201,0)),""))</f>
      </c>
      <c r="D223" s="5">
        <f>IF($B223="","",IFERROR(INDEX('Meetings (MOM)'!$C$2:$C$201,MATCH($B223,'Meetings (MOM)'!$A$2:$A$201,0)),""))</f>
      </c>
      <c r="E223" s="4"/>
      <c r="F223" s="2"/>
      <c r="G223" s="2"/>
      <c r="H223" s="2"/>
      <c r="I223" s="8"/>
      <c r="J223" s="8"/>
      <c r="K223" s="8"/>
      <c r="L223" s="2"/>
      <c r="M223" s="9"/>
      <c r="N223" s="8"/>
      <c r="O223" s="10">
        <f t="shared" si="9"/>
      </c>
      <c r="P223" s="4"/>
      <c r="Q223" s="5">
        <f t="shared" si="10"/>
      </c>
      <c r="R223" s="4"/>
      <c r="S223" s="5">
        <f>IF($B223="","",$B223&amp;"-"&amp;COUNTIFS($B$2:$B223,$B223))</f>
      </c>
      <c r="T223" s="5">
        <f t="shared" si="11"/>
        <v>0</v>
      </c>
    </row>
    <row r="224" ht="27.75" customHeight="1" spans="1:20" x14ac:dyDescent="0.25">
      <c r="A224" s="2"/>
      <c r="B224" s="2"/>
      <c r="C224" s="7">
        <f>IF($B224="","",IFERROR(INDEX('Meetings (MOM)'!$B$2:$B$201,MATCH($B224,'Meetings (MOM)'!$A$2:$A$201,0)),""))</f>
      </c>
      <c r="D224" s="5">
        <f>IF($B224="","",IFERROR(INDEX('Meetings (MOM)'!$C$2:$C$201,MATCH($B224,'Meetings (MOM)'!$A$2:$A$201,0)),""))</f>
      </c>
      <c r="E224" s="4"/>
      <c r="F224" s="2"/>
      <c r="G224" s="2"/>
      <c r="H224" s="2"/>
      <c r="I224" s="8"/>
      <c r="J224" s="8"/>
      <c r="K224" s="8"/>
      <c r="L224" s="2"/>
      <c r="M224" s="9"/>
      <c r="N224" s="8"/>
      <c r="O224" s="10">
        <f t="shared" si="9"/>
      </c>
      <c r="P224" s="4"/>
      <c r="Q224" s="5">
        <f t="shared" si="10"/>
      </c>
      <c r="R224" s="4"/>
      <c r="S224" s="5">
        <f>IF($B224="","",$B224&amp;"-"&amp;COUNTIFS($B$2:$B224,$B224))</f>
      </c>
      <c r="T224" s="5">
        <f t="shared" si="11"/>
        <v>0</v>
      </c>
    </row>
    <row r="225" ht="27.75" customHeight="1" spans="1:20" x14ac:dyDescent="0.25">
      <c r="A225" s="2"/>
      <c r="B225" s="2"/>
      <c r="C225" s="7">
        <f>IF($B225="","",IFERROR(INDEX('Meetings (MOM)'!$B$2:$B$201,MATCH($B225,'Meetings (MOM)'!$A$2:$A$201,0)),""))</f>
      </c>
      <c r="D225" s="5">
        <f>IF($B225="","",IFERROR(INDEX('Meetings (MOM)'!$C$2:$C$201,MATCH($B225,'Meetings (MOM)'!$A$2:$A$201,0)),""))</f>
      </c>
      <c r="E225" s="4"/>
      <c r="F225" s="2"/>
      <c r="G225" s="2"/>
      <c r="H225" s="2"/>
      <c r="I225" s="8"/>
      <c r="J225" s="8"/>
      <c r="K225" s="8"/>
      <c r="L225" s="2"/>
      <c r="M225" s="9"/>
      <c r="N225" s="8"/>
      <c r="O225" s="10">
        <f t="shared" si="9"/>
      </c>
      <c r="P225" s="4"/>
      <c r="Q225" s="5">
        <f t="shared" si="10"/>
      </c>
      <c r="R225" s="4"/>
      <c r="S225" s="5">
        <f>IF($B225="","",$B225&amp;"-"&amp;COUNTIFS($B$2:$B225,$B225))</f>
      </c>
      <c r="T225" s="5">
        <f t="shared" si="11"/>
        <v>0</v>
      </c>
    </row>
    <row r="226" ht="27.75" customHeight="1" spans="1:20" x14ac:dyDescent="0.25">
      <c r="A226" s="2"/>
      <c r="B226" s="2"/>
      <c r="C226" s="7">
        <f>IF($B226="","",IFERROR(INDEX('Meetings (MOM)'!$B$2:$B$201,MATCH($B226,'Meetings (MOM)'!$A$2:$A$201,0)),""))</f>
      </c>
      <c r="D226" s="5">
        <f>IF($B226="","",IFERROR(INDEX('Meetings (MOM)'!$C$2:$C$201,MATCH($B226,'Meetings (MOM)'!$A$2:$A$201,0)),""))</f>
      </c>
      <c r="E226" s="4"/>
      <c r="F226" s="2"/>
      <c r="G226" s="2"/>
      <c r="H226" s="2"/>
      <c r="I226" s="8"/>
      <c r="J226" s="8"/>
      <c r="K226" s="8"/>
      <c r="L226" s="2"/>
      <c r="M226" s="9"/>
      <c r="N226" s="8"/>
      <c r="O226" s="10">
        <f t="shared" si="9"/>
      </c>
      <c r="P226" s="4"/>
      <c r="Q226" s="5">
        <f t="shared" si="10"/>
      </c>
      <c r="R226" s="4"/>
      <c r="S226" s="5">
        <f>IF($B226="","",$B226&amp;"-"&amp;COUNTIFS($B$2:$B226,$B226))</f>
      </c>
      <c r="T226" s="5">
        <f t="shared" si="11"/>
        <v>0</v>
      </c>
    </row>
    <row r="227" ht="27.75" customHeight="1" spans="1:20" x14ac:dyDescent="0.25">
      <c r="A227" s="2"/>
      <c r="B227" s="2"/>
      <c r="C227" s="7">
        <f>IF($B227="","",IFERROR(INDEX('Meetings (MOM)'!$B$2:$B$201,MATCH($B227,'Meetings (MOM)'!$A$2:$A$201,0)),""))</f>
      </c>
      <c r="D227" s="5">
        <f>IF($B227="","",IFERROR(INDEX('Meetings (MOM)'!$C$2:$C$201,MATCH($B227,'Meetings (MOM)'!$A$2:$A$201,0)),""))</f>
      </c>
      <c r="E227" s="4"/>
      <c r="F227" s="2"/>
      <c r="G227" s="2"/>
      <c r="H227" s="2"/>
      <c r="I227" s="8"/>
      <c r="J227" s="8"/>
      <c r="K227" s="8"/>
      <c r="L227" s="2"/>
      <c r="M227" s="9"/>
      <c r="N227" s="8"/>
      <c r="O227" s="10">
        <f t="shared" si="9"/>
      </c>
      <c r="P227" s="4"/>
      <c r="Q227" s="5">
        <f t="shared" si="10"/>
      </c>
      <c r="R227" s="4"/>
      <c r="S227" s="5">
        <f>IF($B227="","",$B227&amp;"-"&amp;COUNTIFS($B$2:$B227,$B227))</f>
      </c>
      <c r="T227" s="5">
        <f t="shared" si="11"/>
        <v>0</v>
      </c>
    </row>
    <row r="228" ht="27.75" customHeight="1" spans="1:20" x14ac:dyDescent="0.25">
      <c r="A228" s="2"/>
      <c r="B228" s="2"/>
      <c r="C228" s="7">
        <f>IF($B228="","",IFERROR(INDEX('Meetings (MOM)'!$B$2:$B$201,MATCH($B228,'Meetings (MOM)'!$A$2:$A$201,0)),""))</f>
      </c>
      <c r="D228" s="5">
        <f>IF($B228="","",IFERROR(INDEX('Meetings (MOM)'!$C$2:$C$201,MATCH($B228,'Meetings (MOM)'!$A$2:$A$201,0)),""))</f>
      </c>
      <c r="E228" s="4"/>
      <c r="F228" s="2"/>
      <c r="G228" s="2"/>
      <c r="H228" s="2"/>
      <c r="I228" s="8"/>
      <c r="J228" s="8"/>
      <c r="K228" s="8"/>
      <c r="L228" s="2"/>
      <c r="M228" s="9"/>
      <c r="N228" s="8"/>
      <c r="O228" s="10">
        <f t="shared" si="9"/>
      </c>
      <c r="P228" s="4"/>
      <c r="Q228" s="5">
        <f t="shared" si="10"/>
      </c>
      <c r="R228" s="4"/>
      <c r="S228" s="5">
        <f>IF($B228="","",$B228&amp;"-"&amp;COUNTIFS($B$2:$B228,$B228))</f>
      </c>
      <c r="T228" s="5">
        <f t="shared" si="11"/>
        <v>0</v>
      </c>
    </row>
    <row r="229" ht="27.75" customHeight="1" spans="1:20" x14ac:dyDescent="0.25">
      <c r="A229" s="2"/>
      <c r="B229" s="2"/>
      <c r="C229" s="7">
        <f>IF($B229="","",IFERROR(INDEX('Meetings (MOM)'!$B$2:$B$201,MATCH($B229,'Meetings (MOM)'!$A$2:$A$201,0)),""))</f>
      </c>
      <c r="D229" s="5">
        <f>IF($B229="","",IFERROR(INDEX('Meetings (MOM)'!$C$2:$C$201,MATCH($B229,'Meetings (MOM)'!$A$2:$A$201,0)),""))</f>
      </c>
      <c r="E229" s="4"/>
      <c r="F229" s="2"/>
      <c r="G229" s="2"/>
      <c r="H229" s="2"/>
      <c r="I229" s="8"/>
      <c r="J229" s="8"/>
      <c r="K229" s="8"/>
      <c r="L229" s="2"/>
      <c r="M229" s="9"/>
      <c r="N229" s="8"/>
      <c r="O229" s="10">
        <f t="shared" si="9"/>
      </c>
      <c r="P229" s="4"/>
      <c r="Q229" s="5">
        <f t="shared" si="10"/>
      </c>
      <c r="R229" s="4"/>
      <c r="S229" s="5">
        <f>IF($B229="","",$B229&amp;"-"&amp;COUNTIFS($B$2:$B229,$B229))</f>
      </c>
      <c r="T229" s="5">
        <f t="shared" si="11"/>
        <v>0</v>
      </c>
    </row>
    <row r="230" ht="27.75" customHeight="1" spans="1:20" x14ac:dyDescent="0.25">
      <c r="A230" s="2"/>
      <c r="B230" s="2"/>
      <c r="C230" s="7">
        <f>IF($B230="","",IFERROR(INDEX('Meetings (MOM)'!$B$2:$B$201,MATCH($B230,'Meetings (MOM)'!$A$2:$A$201,0)),""))</f>
      </c>
      <c r="D230" s="5">
        <f>IF($B230="","",IFERROR(INDEX('Meetings (MOM)'!$C$2:$C$201,MATCH($B230,'Meetings (MOM)'!$A$2:$A$201,0)),""))</f>
      </c>
      <c r="E230" s="4"/>
      <c r="F230" s="2"/>
      <c r="G230" s="2"/>
      <c r="H230" s="2"/>
      <c r="I230" s="8"/>
      <c r="J230" s="8"/>
      <c r="K230" s="8"/>
      <c r="L230" s="2"/>
      <c r="M230" s="9"/>
      <c r="N230" s="8"/>
      <c r="O230" s="10">
        <f t="shared" si="9"/>
      </c>
      <c r="P230" s="4"/>
      <c r="Q230" s="5">
        <f t="shared" si="10"/>
      </c>
      <c r="R230" s="4"/>
      <c r="S230" s="5">
        <f>IF($B230="","",$B230&amp;"-"&amp;COUNTIFS($B$2:$B230,$B230))</f>
      </c>
      <c r="T230" s="5">
        <f t="shared" si="11"/>
        <v>0</v>
      </c>
    </row>
    <row r="231" ht="27.75" customHeight="1" spans="1:20" x14ac:dyDescent="0.25">
      <c r="A231" s="2"/>
      <c r="B231" s="2"/>
      <c r="C231" s="7">
        <f>IF($B231="","",IFERROR(INDEX('Meetings (MOM)'!$B$2:$B$201,MATCH($B231,'Meetings (MOM)'!$A$2:$A$201,0)),""))</f>
      </c>
      <c r="D231" s="5">
        <f>IF($B231="","",IFERROR(INDEX('Meetings (MOM)'!$C$2:$C$201,MATCH($B231,'Meetings (MOM)'!$A$2:$A$201,0)),""))</f>
      </c>
      <c r="E231" s="4"/>
      <c r="F231" s="2"/>
      <c r="G231" s="2"/>
      <c r="H231" s="2"/>
      <c r="I231" s="8"/>
      <c r="J231" s="8"/>
      <c r="K231" s="8"/>
      <c r="L231" s="2"/>
      <c r="M231" s="9"/>
      <c r="N231" s="8"/>
      <c r="O231" s="10">
        <f t="shared" si="9"/>
      </c>
      <c r="P231" s="4"/>
      <c r="Q231" s="5">
        <f t="shared" si="10"/>
      </c>
      <c r="R231" s="4"/>
      <c r="S231" s="5">
        <f>IF($B231="","",$B231&amp;"-"&amp;COUNTIFS($B$2:$B231,$B231))</f>
      </c>
      <c r="T231" s="5">
        <f t="shared" si="11"/>
        <v>0</v>
      </c>
    </row>
    <row r="232" ht="27.75" customHeight="1" spans="1:20" x14ac:dyDescent="0.25">
      <c r="A232" s="2"/>
      <c r="B232" s="2"/>
      <c r="C232" s="7">
        <f>IF($B232="","",IFERROR(INDEX('Meetings (MOM)'!$B$2:$B$201,MATCH($B232,'Meetings (MOM)'!$A$2:$A$201,0)),""))</f>
      </c>
      <c r="D232" s="5">
        <f>IF($B232="","",IFERROR(INDEX('Meetings (MOM)'!$C$2:$C$201,MATCH($B232,'Meetings (MOM)'!$A$2:$A$201,0)),""))</f>
      </c>
      <c r="E232" s="4"/>
      <c r="F232" s="2"/>
      <c r="G232" s="2"/>
      <c r="H232" s="2"/>
      <c r="I232" s="8"/>
      <c r="J232" s="8"/>
      <c r="K232" s="8"/>
      <c r="L232" s="2"/>
      <c r="M232" s="9"/>
      <c r="N232" s="8"/>
      <c r="O232" s="10">
        <f t="shared" si="9"/>
      </c>
      <c r="P232" s="4"/>
      <c r="Q232" s="5">
        <f t="shared" si="10"/>
      </c>
      <c r="R232" s="4"/>
      <c r="S232" s="5">
        <f>IF($B232="","",$B232&amp;"-"&amp;COUNTIFS($B$2:$B232,$B232))</f>
      </c>
      <c r="T232" s="5">
        <f t="shared" si="11"/>
        <v>0</v>
      </c>
    </row>
    <row r="233" ht="27.75" customHeight="1" spans="1:20" x14ac:dyDescent="0.25">
      <c r="A233" s="2"/>
      <c r="B233" s="2"/>
      <c r="C233" s="7">
        <f>IF($B233="","",IFERROR(INDEX('Meetings (MOM)'!$B$2:$B$201,MATCH($B233,'Meetings (MOM)'!$A$2:$A$201,0)),""))</f>
      </c>
      <c r="D233" s="5">
        <f>IF($B233="","",IFERROR(INDEX('Meetings (MOM)'!$C$2:$C$201,MATCH($B233,'Meetings (MOM)'!$A$2:$A$201,0)),""))</f>
      </c>
      <c r="E233" s="4"/>
      <c r="F233" s="2"/>
      <c r="G233" s="2"/>
      <c r="H233" s="2"/>
      <c r="I233" s="8"/>
      <c r="J233" s="8"/>
      <c r="K233" s="8"/>
      <c r="L233" s="2"/>
      <c r="M233" s="9"/>
      <c r="N233" s="8"/>
      <c r="O233" s="10">
        <f t="shared" si="9"/>
      </c>
      <c r="P233" s="4"/>
      <c r="Q233" s="5">
        <f t="shared" si="10"/>
      </c>
      <c r="R233" s="4"/>
      <c r="S233" s="5">
        <f>IF($B233="","",$B233&amp;"-"&amp;COUNTIFS($B$2:$B233,$B233))</f>
      </c>
      <c r="T233" s="5">
        <f t="shared" si="11"/>
        <v>0</v>
      </c>
    </row>
    <row r="234" ht="27.75" customHeight="1" spans="1:20" x14ac:dyDescent="0.25">
      <c r="A234" s="2"/>
      <c r="B234" s="2"/>
      <c r="C234" s="7">
        <f>IF($B234="","",IFERROR(INDEX('Meetings (MOM)'!$B$2:$B$201,MATCH($B234,'Meetings (MOM)'!$A$2:$A$201,0)),""))</f>
      </c>
      <c r="D234" s="5">
        <f>IF($B234="","",IFERROR(INDEX('Meetings (MOM)'!$C$2:$C$201,MATCH($B234,'Meetings (MOM)'!$A$2:$A$201,0)),""))</f>
      </c>
      <c r="E234" s="4"/>
      <c r="F234" s="2"/>
      <c r="G234" s="2"/>
      <c r="H234" s="2"/>
      <c r="I234" s="8"/>
      <c r="J234" s="8"/>
      <c r="K234" s="8"/>
      <c r="L234" s="2"/>
      <c r="M234" s="9"/>
      <c r="N234" s="8"/>
      <c r="O234" s="10">
        <f t="shared" si="9"/>
      </c>
      <c r="P234" s="4"/>
      <c r="Q234" s="5">
        <f t="shared" si="10"/>
      </c>
      <c r="R234" s="4"/>
      <c r="S234" s="5">
        <f>IF($B234="","",$B234&amp;"-"&amp;COUNTIFS($B$2:$B234,$B234))</f>
      </c>
      <c r="T234" s="5">
        <f t="shared" si="11"/>
        <v>0</v>
      </c>
    </row>
    <row r="235" ht="27.75" customHeight="1" spans="1:20" x14ac:dyDescent="0.25">
      <c r="A235" s="2"/>
      <c r="B235" s="2"/>
      <c r="C235" s="7">
        <f>IF($B235="","",IFERROR(INDEX('Meetings (MOM)'!$B$2:$B$201,MATCH($B235,'Meetings (MOM)'!$A$2:$A$201,0)),""))</f>
      </c>
      <c r="D235" s="5">
        <f>IF($B235="","",IFERROR(INDEX('Meetings (MOM)'!$C$2:$C$201,MATCH($B235,'Meetings (MOM)'!$A$2:$A$201,0)),""))</f>
      </c>
      <c r="E235" s="4"/>
      <c r="F235" s="2"/>
      <c r="G235" s="2"/>
      <c r="H235" s="2"/>
      <c r="I235" s="8"/>
      <c r="J235" s="8"/>
      <c r="K235" s="8"/>
      <c r="L235" s="2"/>
      <c r="M235" s="9"/>
      <c r="N235" s="8"/>
      <c r="O235" s="10">
        <f t="shared" si="9"/>
      </c>
      <c r="P235" s="4"/>
      <c r="Q235" s="5">
        <f t="shared" si="10"/>
      </c>
      <c r="R235" s="4"/>
      <c r="S235" s="5">
        <f>IF($B235="","",$B235&amp;"-"&amp;COUNTIFS($B$2:$B235,$B235))</f>
      </c>
      <c r="T235" s="5">
        <f t="shared" si="11"/>
        <v>0</v>
      </c>
    </row>
    <row r="236" ht="27.75" customHeight="1" spans="1:20" x14ac:dyDescent="0.25">
      <c r="A236" s="2"/>
      <c r="B236" s="2"/>
      <c r="C236" s="7">
        <f>IF($B236="","",IFERROR(INDEX('Meetings (MOM)'!$B$2:$B$201,MATCH($B236,'Meetings (MOM)'!$A$2:$A$201,0)),""))</f>
      </c>
      <c r="D236" s="5">
        <f>IF($B236="","",IFERROR(INDEX('Meetings (MOM)'!$C$2:$C$201,MATCH($B236,'Meetings (MOM)'!$A$2:$A$201,0)),""))</f>
      </c>
      <c r="E236" s="4"/>
      <c r="F236" s="2"/>
      <c r="G236" s="2"/>
      <c r="H236" s="2"/>
      <c r="I236" s="8"/>
      <c r="J236" s="8"/>
      <c r="K236" s="8"/>
      <c r="L236" s="2"/>
      <c r="M236" s="9"/>
      <c r="N236" s="8"/>
      <c r="O236" s="10">
        <f t="shared" si="9"/>
      </c>
      <c r="P236" s="4"/>
      <c r="Q236" s="5">
        <f t="shared" si="10"/>
      </c>
      <c r="R236" s="4"/>
      <c r="S236" s="5">
        <f>IF($B236="","",$B236&amp;"-"&amp;COUNTIFS($B$2:$B236,$B236))</f>
      </c>
      <c r="T236" s="5">
        <f t="shared" si="11"/>
        <v>0</v>
      </c>
    </row>
    <row r="237" ht="27.75" customHeight="1" spans="1:20" x14ac:dyDescent="0.25">
      <c r="A237" s="2"/>
      <c r="B237" s="2"/>
      <c r="C237" s="7">
        <f>IF($B237="","",IFERROR(INDEX('Meetings (MOM)'!$B$2:$B$201,MATCH($B237,'Meetings (MOM)'!$A$2:$A$201,0)),""))</f>
      </c>
      <c r="D237" s="5">
        <f>IF($B237="","",IFERROR(INDEX('Meetings (MOM)'!$C$2:$C$201,MATCH($B237,'Meetings (MOM)'!$A$2:$A$201,0)),""))</f>
      </c>
      <c r="E237" s="4"/>
      <c r="F237" s="2"/>
      <c r="G237" s="2"/>
      <c r="H237" s="2"/>
      <c r="I237" s="8"/>
      <c r="J237" s="8"/>
      <c r="K237" s="8"/>
      <c r="L237" s="2"/>
      <c r="M237" s="9"/>
      <c r="N237" s="8"/>
      <c r="O237" s="10">
        <f t="shared" si="9"/>
      </c>
      <c r="P237" s="4"/>
      <c r="Q237" s="5">
        <f t="shared" si="10"/>
      </c>
      <c r="R237" s="4"/>
      <c r="S237" s="5">
        <f>IF($B237="","",$B237&amp;"-"&amp;COUNTIFS($B$2:$B237,$B237))</f>
      </c>
      <c r="T237" s="5">
        <f t="shared" si="11"/>
        <v>0</v>
      </c>
    </row>
    <row r="238" ht="27.75" customHeight="1" spans="1:20" x14ac:dyDescent="0.25">
      <c r="A238" s="2"/>
      <c r="B238" s="2"/>
      <c r="C238" s="7">
        <f>IF($B238="","",IFERROR(INDEX('Meetings (MOM)'!$B$2:$B$201,MATCH($B238,'Meetings (MOM)'!$A$2:$A$201,0)),""))</f>
      </c>
      <c r="D238" s="5">
        <f>IF($B238="","",IFERROR(INDEX('Meetings (MOM)'!$C$2:$C$201,MATCH($B238,'Meetings (MOM)'!$A$2:$A$201,0)),""))</f>
      </c>
      <c r="E238" s="4"/>
      <c r="F238" s="2"/>
      <c r="G238" s="2"/>
      <c r="H238" s="2"/>
      <c r="I238" s="8"/>
      <c r="J238" s="8"/>
      <c r="K238" s="8"/>
      <c r="L238" s="2"/>
      <c r="M238" s="9"/>
      <c r="N238" s="8"/>
      <c r="O238" s="10">
        <f t="shared" si="9"/>
      </c>
      <c r="P238" s="4"/>
      <c r="Q238" s="5">
        <f t="shared" si="10"/>
      </c>
      <c r="R238" s="4"/>
      <c r="S238" s="5">
        <f>IF($B238="","",$B238&amp;"-"&amp;COUNTIFS($B$2:$B238,$B238))</f>
      </c>
      <c r="T238" s="5">
        <f t="shared" si="11"/>
        <v>0</v>
      </c>
    </row>
    <row r="239" ht="27.75" customHeight="1" spans="1:20" x14ac:dyDescent="0.25">
      <c r="A239" s="2"/>
      <c r="B239" s="2"/>
      <c r="C239" s="7">
        <f>IF($B239="","",IFERROR(INDEX('Meetings (MOM)'!$B$2:$B$201,MATCH($B239,'Meetings (MOM)'!$A$2:$A$201,0)),""))</f>
      </c>
      <c r="D239" s="5">
        <f>IF($B239="","",IFERROR(INDEX('Meetings (MOM)'!$C$2:$C$201,MATCH($B239,'Meetings (MOM)'!$A$2:$A$201,0)),""))</f>
      </c>
      <c r="E239" s="4"/>
      <c r="F239" s="2"/>
      <c r="G239" s="2"/>
      <c r="H239" s="2"/>
      <c r="I239" s="8"/>
      <c r="J239" s="8"/>
      <c r="K239" s="8"/>
      <c r="L239" s="2"/>
      <c r="M239" s="9"/>
      <c r="N239" s="8"/>
      <c r="O239" s="10">
        <f t="shared" si="9"/>
      </c>
      <c r="P239" s="4"/>
      <c r="Q239" s="5">
        <f t="shared" si="10"/>
      </c>
      <c r="R239" s="4"/>
      <c r="S239" s="5">
        <f>IF($B239="","",$B239&amp;"-"&amp;COUNTIFS($B$2:$B239,$B239))</f>
      </c>
      <c r="T239" s="5">
        <f t="shared" si="11"/>
        <v>0</v>
      </c>
    </row>
    <row r="240" ht="27.75" customHeight="1" spans="1:20" x14ac:dyDescent="0.25">
      <c r="A240" s="2"/>
      <c r="B240" s="2"/>
      <c r="C240" s="7">
        <f>IF($B240="","",IFERROR(INDEX('Meetings (MOM)'!$B$2:$B$201,MATCH($B240,'Meetings (MOM)'!$A$2:$A$201,0)),""))</f>
      </c>
      <c r="D240" s="5">
        <f>IF($B240="","",IFERROR(INDEX('Meetings (MOM)'!$C$2:$C$201,MATCH($B240,'Meetings (MOM)'!$A$2:$A$201,0)),""))</f>
      </c>
      <c r="E240" s="4"/>
      <c r="F240" s="2"/>
      <c r="G240" s="2"/>
      <c r="H240" s="2"/>
      <c r="I240" s="8"/>
      <c r="J240" s="8"/>
      <c r="K240" s="8"/>
      <c r="L240" s="2"/>
      <c r="M240" s="9"/>
      <c r="N240" s="8"/>
      <c r="O240" s="10">
        <f t="shared" si="9"/>
      </c>
      <c r="P240" s="4"/>
      <c r="Q240" s="5">
        <f t="shared" si="10"/>
      </c>
      <c r="R240" s="4"/>
      <c r="S240" s="5">
        <f>IF($B240="","",$B240&amp;"-"&amp;COUNTIFS($B$2:$B240,$B240))</f>
      </c>
      <c r="T240" s="5">
        <f t="shared" si="11"/>
        <v>0</v>
      </c>
    </row>
    <row r="241" ht="27.75" customHeight="1" spans="1:20" x14ac:dyDescent="0.25">
      <c r="A241" s="2"/>
      <c r="B241" s="2"/>
      <c r="C241" s="7">
        <f>IF($B241="","",IFERROR(INDEX('Meetings (MOM)'!$B$2:$B$201,MATCH($B241,'Meetings (MOM)'!$A$2:$A$201,0)),""))</f>
      </c>
      <c r="D241" s="5">
        <f>IF($B241="","",IFERROR(INDEX('Meetings (MOM)'!$C$2:$C$201,MATCH($B241,'Meetings (MOM)'!$A$2:$A$201,0)),""))</f>
      </c>
      <c r="E241" s="4"/>
      <c r="F241" s="2"/>
      <c r="G241" s="2"/>
      <c r="H241" s="2"/>
      <c r="I241" s="8"/>
      <c r="J241" s="8"/>
      <c r="K241" s="8"/>
      <c r="L241" s="2"/>
      <c r="M241" s="9"/>
      <c r="N241" s="8"/>
      <c r="O241" s="10">
        <f t="shared" si="9"/>
      </c>
      <c r="P241" s="4"/>
      <c r="Q241" s="5">
        <f t="shared" si="10"/>
      </c>
      <c r="R241" s="4"/>
      <c r="S241" s="5">
        <f>IF($B241="","",$B241&amp;"-"&amp;COUNTIFS($B$2:$B241,$B241))</f>
      </c>
      <c r="T241" s="5">
        <f t="shared" si="11"/>
        <v>0</v>
      </c>
    </row>
    <row r="242" ht="27.75" customHeight="1" spans="1:20" x14ac:dyDescent="0.25">
      <c r="A242" s="2"/>
      <c r="B242" s="2"/>
      <c r="C242" s="7">
        <f>IF($B242="","",IFERROR(INDEX('Meetings (MOM)'!$B$2:$B$201,MATCH($B242,'Meetings (MOM)'!$A$2:$A$201,0)),""))</f>
      </c>
      <c r="D242" s="5">
        <f>IF($B242="","",IFERROR(INDEX('Meetings (MOM)'!$C$2:$C$201,MATCH($B242,'Meetings (MOM)'!$A$2:$A$201,0)),""))</f>
      </c>
      <c r="E242" s="4"/>
      <c r="F242" s="2"/>
      <c r="G242" s="2"/>
      <c r="H242" s="2"/>
      <c r="I242" s="8"/>
      <c r="J242" s="8"/>
      <c r="K242" s="8"/>
      <c r="L242" s="2"/>
      <c r="M242" s="9"/>
      <c r="N242" s="8"/>
      <c r="O242" s="10">
        <f t="shared" si="9"/>
      </c>
      <c r="P242" s="4"/>
      <c r="Q242" s="5">
        <f t="shared" si="10"/>
      </c>
      <c r="R242" s="4"/>
      <c r="S242" s="5">
        <f>IF($B242="","",$B242&amp;"-"&amp;COUNTIFS($B$2:$B242,$B242))</f>
      </c>
      <c r="T242" s="5">
        <f t="shared" si="11"/>
        <v>0</v>
      </c>
    </row>
    <row r="243" ht="27.75" customHeight="1" spans="1:20" x14ac:dyDescent="0.25">
      <c r="A243" s="2"/>
      <c r="B243" s="2"/>
      <c r="C243" s="7">
        <f>IF($B243="","",IFERROR(INDEX('Meetings (MOM)'!$B$2:$B$201,MATCH($B243,'Meetings (MOM)'!$A$2:$A$201,0)),""))</f>
      </c>
      <c r="D243" s="5">
        <f>IF($B243="","",IFERROR(INDEX('Meetings (MOM)'!$C$2:$C$201,MATCH($B243,'Meetings (MOM)'!$A$2:$A$201,0)),""))</f>
      </c>
      <c r="E243" s="4"/>
      <c r="F243" s="2"/>
      <c r="G243" s="2"/>
      <c r="H243" s="2"/>
      <c r="I243" s="8"/>
      <c r="J243" s="8"/>
      <c r="K243" s="8"/>
      <c r="L243" s="2"/>
      <c r="M243" s="9"/>
      <c r="N243" s="8"/>
      <c r="O243" s="10">
        <f t="shared" si="9"/>
      </c>
      <c r="P243" s="4"/>
      <c r="Q243" s="5">
        <f t="shared" si="10"/>
      </c>
      <c r="R243" s="4"/>
      <c r="S243" s="5">
        <f>IF($B243="","",$B243&amp;"-"&amp;COUNTIFS($B$2:$B243,$B243))</f>
      </c>
      <c r="T243" s="5">
        <f t="shared" si="11"/>
        <v>0</v>
      </c>
    </row>
    <row r="244" ht="27.75" customHeight="1" spans="1:20" x14ac:dyDescent="0.25">
      <c r="A244" s="2"/>
      <c r="B244" s="2"/>
      <c r="C244" s="7">
        <f>IF($B244="","",IFERROR(INDEX('Meetings (MOM)'!$B$2:$B$201,MATCH($B244,'Meetings (MOM)'!$A$2:$A$201,0)),""))</f>
      </c>
      <c r="D244" s="5">
        <f>IF($B244="","",IFERROR(INDEX('Meetings (MOM)'!$C$2:$C$201,MATCH($B244,'Meetings (MOM)'!$A$2:$A$201,0)),""))</f>
      </c>
      <c r="E244" s="4"/>
      <c r="F244" s="2"/>
      <c r="G244" s="2"/>
      <c r="H244" s="2"/>
      <c r="I244" s="8"/>
      <c r="J244" s="8"/>
      <c r="K244" s="8"/>
      <c r="L244" s="2"/>
      <c r="M244" s="9"/>
      <c r="N244" s="8"/>
      <c r="O244" s="10">
        <f t="shared" si="9"/>
      </c>
      <c r="P244" s="4"/>
      <c r="Q244" s="5">
        <f t="shared" si="10"/>
      </c>
      <c r="R244" s="4"/>
      <c r="S244" s="5">
        <f>IF($B244="","",$B244&amp;"-"&amp;COUNTIFS($B$2:$B244,$B244))</f>
      </c>
      <c r="T244" s="5">
        <f t="shared" si="11"/>
        <v>0</v>
      </c>
    </row>
    <row r="245" ht="27.75" customHeight="1" spans="1:20" x14ac:dyDescent="0.25">
      <c r="A245" s="2"/>
      <c r="B245" s="2"/>
      <c r="C245" s="7">
        <f>IF($B245="","",IFERROR(INDEX('Meetings (MOM)'!$B$2:$B$201,MATCH($B245,'Meetings (MOM)'!$A$2:$A$201,0)),""))</f>
      </c>
      <c r="D245" s="5">
        <f>IF($B245="","",IFERROR(INDEX('Meetings (MOM)'!$C$2:$C$201,MATCH($B245,'Meetings (MOM)'!$A$2:$A$201,0)),""))</f>
      </c>
      <c r="E245" s="4"/>
      <c r="F245" s="2"/>
      <c r="G245" s="2"/>
      <c r="H245" s="2"/>
      <c r="I245" s="8"/>
      <c r="J245" s="8"/>
      <c r="K245" s="8"/>
      <c r="L245" s="2"/>
      <c r="M245" s="9"/>
      <c r="N245" s="8"/>
      <c r="O245" s="10">
        <f t="shared" si="9"/>
      </c>
      <c r="P245" s="4"/>
      <c r="Q245" s="5">
        <f t="shared" si="10"/>
      </c>
      <c r="R245" s="4"/>
      <c r="S245" s="5">
        <f>IF($B245="","",$B245&amp;"-"&amp;COUNTIFS($B$2:$B245,$B245))</f>
      </c>
      <c r="T245" s="5">
        <f t="shared" si="11"/>
        <v>0</v>
      </c>
    </row>
    <row r="246" ht="27.75" customHeight="1" spans="1:20" x14ac:dyDescent="0.25">
      <c r="A246" s="2"/>
      <c r="B246" s="2"/>
      <c r="C246" s="7">
        <f>IF($B246="","",IFERROR(INDEX('Meetings (MOM)'!$B$2:$B$201,MATCH($B246,'Meetings (MOM)'!$A$2:$A$201,0)),""))</f>
      </c>
      <c r="D246" s="5">
        <f>IF($B246="","",IFERROR(INDEX('Meetings (MOM)'!$C$2:$C$201,MATCH($B246,'Meetings (MOM)'!$A$2:$A$201,0)),""))</f>
      </c>
      <c r="E246" s="4"/>
      <c r="F246" s="2"/>
      <c r="G246" s="2"/>
      <c r="H246" s="2"/>
      <c r="I246" s="8"/>
      <c r="J246" s="8"/>
      <c r="K246" s="8"/>
      <c r="L246" s="2"/>
      <c r="M246" s="9"/>
      <c r="N246" s="8"/>
      <c r="O246" s="10">
        <f t="shared" si="9"/>
      </c>
      <c r="P246" s="4"/>
      <c r="Q246" s="5">
        <f t="shared" si="10"/>
      </c>
      <c r="R246" s="4"/>
      <c r="S246" s="5">
        <f>IF($B246="","",$B246&amp;"-"&amp;COUNTIFS($B$2:$B246,$B246))</f>
      </c>
      <c r="T246" s="5">
        <f t="shared" si="11"/>
        <v>0</v>
      </c>
    </row>
    <row r="247" ht="27.75" customHeight="1" spans="1:20" x14ac:dyDescent="0.25">
      <c r="A247" s="2"/>
      <c r="B247" s="2"/>
      <c r="C247" s="7">
        <f>IF($B247="","",IFERROR(INDEX('Meetings (MOM)'!$B$2:$B$201,MATCH($B247,'Meetings (MOM)'!$A$2:$A$201,0)),""))</f>
      </c>
      <c r="D247" s="5">
        <f>IF($B247="","",IFERROR(INDEX('Meetings (MOM)'!$C$2:$C$201,MATCH($B247,'Meetings (MOM)'!$A$2:$A$201,0)),""))</f>
      </c>
      <c r="E247" s="4"/>
      <c r="F247" s="2"/>
      <c r="G247" s="2"/>
      <c r="H247" s="2"/>
      <c r="I247" s="8"/>
      <c r="J247" s="8"/>
      <c r="K247" s="8"/>
      <c r="L247" s="2"/>
      <c r="M247" s="9"/>
      <c r="N247" s="8"/>
      <c r="O247" s="10">
        <f t="shared" si="9"/>
      </c>
      <c r="P247" s="4"/>
      <c r="Q247" s="5">
        <f t="shared" si="10"/>
      </c>
      <c r="R247" s="4"/>
      <c r="S247" s="5">
        <f>IF($B247="","",$B247&amp;"-"&amp;COUNTIFS($B$2:$B247,$B247))</f>
      </c>
      <c r="T247" s="5">
        <f t="shared" si="11"/>
        <v>0</v>
      </c>
    </row>
    <row r="248" ht="27.75" customHeight="1" spans="1:20" x14ac:dyDescent="0.25">
      <c r="A248" s="2"/>
      <c r="B248" s="2"/>
      <c r="C248" s="7">
        <f>IF($B248="","",IFERROR(INDEX('Meetings (MOM)'!$B$2:$B$201,MATCH($B248,'Meetings (MOM)'!$A$2:$A$201,0)),""))</f>
      </c>
      <c r="D248" s="5">
        <f>IF($B248="","",IFERROR(INDEX('Meetings (MOM)'!$C$2:$C$201,MATCH($B248,'Meetings (MOM)'!$A$2:$A$201,0)),""))</f>
      </c>
      <c r="E248" s="4"/>
      <c r="F248" s="2"/>
      <c r="G248" s="2"/>
      <c r="H248" s="2"/>
      <c r="I248" s="8"/>
      <c r="J248" s="8"/>
      <c r="K248" s="8"/>
      <c r="L248" s="2"/>
      <c r="M248" s="9"/>
      <c r="N248" s="8"/>
      <c r="O248" s="10">
        <f t="shared" si="9"/>
      </c>
      <c r="P248" s="4"/>
      <c r="Q248" s="5">
        <f t="shared" si="10"/>
      </c>
      <c r="R248" s="4"/>
      <c r="S248" s="5">
        <f>IF($B248="","",$B248&amp;"-"&amp;COUNTIFS($B$2:$B248,$B248))</f>
      </c>
      <c r="T248" s="5">
        <f t="shared" si="11"/>
        <v>0</v>
      </c>
    </row>
    <row r="249" ht="27.75" customHeight="1" spans="1:20" x14ac:dyDescent="0.25">
      <c r="A249" s="2"/>
      <c r="B249" s="2"/>
      <c r="C249" s="7">
        <f>IF($B249="","",IFERROR(INDEX('Meetings (MOM)'!$B$2:$B$201,MATCH($B249,'Meetings (MOM)'!$A$2:$A$201,0)),""))</f>
      </c>
      <c r="D249" s="5">
        <f>IF($B249="","",IFERROR(INDEX('Meetings (MOM)'!$C$2:$C$201,MATCH($B249,'Meetings (MOM)'!$A$2:$A$201,0)),""))</f>
      </c>
      <c r="E249" s="4"/>
      <c r="F249" s="2"/>
      <c r="G249" s="2"/>
      <c r="H249" s="2"/>
      <c r="I249" s="8"/>
      <c r="J249" s="8"/>
      <c r="K249" s="8"/>
      <c r="L249" s="2"/>
      <c r="M249" s="9"/>
      <c r="N249" s="8"/>
      <c r="O249" s="10">
        <f t="shared" si="9"/>
      </c>
      <c r="P249" s="4"/>
      <c r="Q249" s="5">
        <f t="shared" si="10"/>
      </c>
      <c r="R249" s="4"/>
      <c r="S249" s="5">
        <f>IF($B249="","",$B249&amp;"-"&amp;COUNTIFS($B$2:$B249,$B249))</f>
      </c>
      <c r="T249" s="5">
        <f t="shared" si="11"/>
        <v>0</v>
      </c>
    </row>
    <row r="250" ht="27.75" customHeight="1" spans="1:20" x14ac:dyDescent="0.25">
      <c r="A250" s="2"/>
      <c r="B250" s="2"/>
      <c r="C250" s="7">
        <f>IF($B250="","",IFERROR(INDEX('Meetings (MOM)'!$B$2:$B$201,MATCH($B250,'Meetings (MOM)'!$A$2:$A$201,0)),""))</f>
      </c>
      <c r="D250" s="5">
        <f>IF($B250="","",IFERROR(INDEX('Meetings (MOM)'!$C$2:$C$201,MATCH($B250,'Meetings (MOM)'!$A$2:$A$201,0)),""))</f>
      </c>
      <c r="E250" s="4"/>
      <c r="F250" s="2"/>
      <c r="G250" s="2"/>
      <c r="H250" s="2"/>
      <c r="I250" s="8"/>
      <c r="J250" s="8"/>
      <c r="K250" s="8"/>
      <c r="L250" s="2"/>
      <c r="M250" s="9"/>
      <c r="N250" s="8"/>
      <c r="O250" s="10">
        <f t="shared" si="9"/>
      </c>
      <c r="P250" s="4"/>
      <c r="Q250" s="5">
        <f t="shared" si="10"/>
      </c>
      <c r="R250" s="4"/>
      <c r="S250" s="5">
        <f>IF($B250="","",$B250&amp;"-"&amp;COUNTIFS($B$2:$B250,$B250))</f>
      </c>
      <c r="T250" s="5">
        <f t="shared" si="11"/>
        <v>0</v>
      </c>
    </row>
    <row r="251" ht="27.75" customHeight="1" spans="1:20" x14ac:dyDescent="0.25">
      <c r="A251" s="2"/>
      <c r="B251" s="2"/>
      <c r="C251" s="7">
        <f>IF($B251="","",IFERROR(INDEX('Meetings (MOM)'!$B$2:$B$201,MATCH($B251,'Meetings (MOM)'!$A$2:$A$201,0)),""))</f>
      </c>
      <c r="D251" s="5">
        <f>IF($B251="","",IFERROR(INDEX('Meetings (MOM)'!$C$2:$C$201,MATCH($B251,'Meetings (MOM)'!$A$2:$A$201,0)),""))</f>
      </c>
      <c r="E251" s="4"/>
      <c r="F251" s="2"/>
      <c r="G251" s="2"/>
      <c r="H251" s="2"/>
      <c r="I251" s="8"/>
      <c r="J251" s="8"/>
      <c r="K251" s="8"/>
      <c r="L251" s="2"/>
      <c r="M251" s="9"/>
      <c r="N251" s="8"/>
      <c r="O251" s="10">
        <f t="shared" si="9"/>
      </c>
      <c r="P251" s="4"/>
      <c r="Q251" s="5">
        <f t="shared" si="10"/>
      </c>
      <c r="R251" s="4"/>
      <c r="S251" s="5">
        <f>IF($B251="","",$B251&amp;"-"&amp;COUNTIFS($B$2:$B251,$B251))</f>
      </c>
      <c r="T251" s="5">
        <f t="shared" si="11"/>
        <v>0</v>
      </c>
    </row>
    <row r="252" ht="27.75" customHeight="1" spans="1:20" x14ac:dyDescent="0.25">
      <c r="A252" s="2"/>
      <c r="B252" s="2"/>
      <c r="C252" s="7">
        <f>IF($B252="","",IFERROR(INDEX('Meetings (MOM)'!$B$2:$B$201,MATCH($B252,'Meetings (MOM)'!$A$2:$A$201,0)),""))</f>
      </c>
      <c r="D252" s="5">
        <f>IF($B252="","",IFERROR(INDEX('Meetings (MOM)'!$C$2:$C$201,MATCH($B252,'Meetings (MOM)'!$A$2:$A$201,0)),""))</f>
      </c>
      <c r="E252" s="4"/>
      <c r="F252" s="2"/>
      <c r="G252" s="2"/>
      <c r="H252" s="2"/>
      <c r="I252" s="8"/>
      <c r="J252" s="8"/>
      <c r="K252" s="8"/>
      <c r="L252" s="2"/>
      <c r="M252" s="9"/>
      <c r="N252" s="8"/>
      <c r="O252" s="10">
        <f t="shared" si="9"/>
      </c>
      <c r="P252" s="4"/>
      <c r="Q252" s="5">
        <f t="shared" si="10"/>
      </c>
      <c r="R252" s="4"/>
      <c r="S252" s="5">
        <f>IF($B252="","",$B252&amp;"-"&amp;COUNTIFS($B$2:$B252,$B252))</f>
      </c>
      <c r="T252" s="5">
        <f t="shared" si="11"/>
        <v>0</v>
      </c>
    </row>
    <row r="253" ht="27.75" customHeight="1" spans="1:20" x14ac:dyDescent="0.25">
      <c r="A253" s="2"/>
      <c r="B253" s="2"/>
      <c r="C253" s="7">
        <f>IF($B253="","",IFERROR(INDEX('Meetings (MOM)'!$B$2:$B$201,MATCH($B253,'Meetings (MOM)'!$A$2:$A$201,0)),""))</f>
      </c>
      <c r="D253" s="5">
        <f>IF($B253="","",IFERROR(INDEX('Meetings (MOM)'!$C$2:$C$201,MATCH($B253,'Meetings (MOM)'!$A$2:$A$201,0)),""))</f>
      </c>
      <c r="E253" s="4"/>
      <c r="F253" s="2"/>
      <c r="G253" s="2"/>
      <c r="H253" s="2"/>
      <c r="I253" s="8"/>
      <c r="J253" s="8"/>
      <c r="K253" s="8"/>
      <c r="L253" s="2"/>
      <c r="M253" s="9"/>
      <c r="N253" s="8"/>
      <c r="O253" s="10">
        <f t="shared" si="9"/>
      </c>
      <c r="P253" s="4"/>
      <c r="Q253" s="5">
        <f t="shared" si="10"/>
      </c>
      <c r="R253" s="4"/>
      <c r="S253" s="5">
        <f>IF($B253="","",$B253&amp;"-"&amp;COUNTIFS($B$2:$B253,$B253))</f>
      </c>
      <c r="T253" s="5">
        <f t="shared" si="11"/>
        <v>0</v>
      </c>
    </row>
    <row r="254" ht="27.75" customHeight="1" spans="1:20" x14ac:dyDescent="0.25">
      <c r="A254" s="2"/>
      <c r="B254" s="2"/>
      <c r="C254" s="7">
        <f>IF($B254="","",IFERROR(INDEX('Meetings (MOM)'!$B$2:$B$201,MATCH($B254,'Meetings (MOM)'!$A$2:$A$201,0)),""))</f>
      </c>
      <c r="D254" s="5">
        <f>IF($B254="","",IFERROR(INDEX('Meetings (MOM)'!$C$2:$C$201,MATCH($B254,'Meetings (MOM)'!$A$2:$A$201,0)),""))</f>
      </c>
      <c r="E254" s="4"/>
      <c r="F254" s="2"/>
      <c r="G254" s="2"/>
      <c r="H254" s="2"/>
      <c r="I254" s="8"/>
      <c r="J254" s="8"/>
      <c r="K254" s="8"/>
      <c r="L254" s="2"/>
      <c r="M254" s="9"/>
      <c r="N254" s="8"/>
      <c r="O254" s="10">
        <f t="shared" si="9"/>
      </c>
      <c r="P254" s="4"/>
      <c r="Q254" s="5">
        <f t="shared" si="10"/>
      </c>
      <c r="R254" s="4"/>
      <c r="S254" s="5">
        <f>IF($B254="","",$B254&amp;"-"&amp;COUNTIFS($B$2:$B254,$B254))</f>
      </c>
      <c r="T254" s="5">
        <f t="shared" si="11"/>
        <v>0</v>
      </c>
    </row>
    <row r="255" ht="27.75" customHeight="1" spans="1:20" x14ac:dyDescent="0.25">
      <c r="A255" s="2"/>
      <c r="B255" s="2"/>
      <c r="C255" s="7">
        <f>IF($B255="","",IFERROR(INDEX('Meetings (MOM)'!$B$2:$B$201,MATCH($B255,'Meetings (MOM)'!$A$2:$A$201,0)),""))</f>
      </c>
      <c r="D255" s="5">
        <f>IF($B255="","",IFERROR(INDEX('Meetings (MOM)'!$C$2:$C$201,MATCH($B255,'Meetings (MOM)'!$A$2:$A$201,0)),""))</f>
      </c>
      <c r="E255" s="4"/>
      <c r="F255" s="2"/>
      <c r="G255" s="2"/>
      <c r="H255" s="2"/>
      <c r="I255" s="8"/>
      <c r="J255" s="8"/>
      <c r="K255" s="8"/>
      <c r="L255" s="2"/>
      <c r="M255" s="9"/>
      <c r="N255" s="8"/>
      <c r="O255" s="10">
        <f t="shared" si="9"/>
      </c>
      <c r="P255" s="4"/>
      <c r="Q255" s="5">
        <f t="shared" si="10"/>
      </c>
      <c r="R255" s="4"/>
      <c r="S255" s="5">
        <f>IF($B255="","",$B255&amp;"-"&amp;COUNTIFS($B$2:$B255,$B255))</f>
      </c>
      <c r="T255" s="5">
        <f t="shared" si="11"/>
        <v>0</v>
      </c>
    </row>
    <row r="256" ht="27.75" customHeight="1" spans="1:20" x14ac:dyDescent="0.25">
      <c r="A256" s="2"/>
      <c r="B256" s="2"/>
      <c r="C256" s="7">
        <f>IF($B256="","",IFERROR(INDEX('Meetings (MOM)'!$B$2:$B$201,MATCH($B256,'Meetings (MOM)'!$A$2:$A$201,0)),""))</f>
      </c>
      <c r="D256" s="5">
        <f>IF($B256="","",IFERROR(INDEX('Meetings (MOM)'!$C$2:$C$201,MATCH($B256,'Meetings (MOM)'!$A$2:$A$201,0)),""))</f>
      </c>
      <c r="E256" s="4"/>
      <c r="F256" s="2"/>
      <c r="G256" s="2"/>
      <c r="H256" s="2"/>
      <c r="I256" s="8"/>
      <c r="J256" s="8"/>
      <c r="K256" s="8"/>
      <c r="L256" s="2"/>
      <c r="M256" s="9"/>
      <c r="N256" s="8"/>
      <c r="O256" s="10">
        <f t="shared" si="9"/>
      </c>
      <c r="P256" s="4"/>
      <c r="Q256" s="5">
        <f t="shared" si="10"/>
      </c>
      <c r="R256" s="4"/>
      <c r="S256" s="5">
        <f>IF($B256="","",$B256&amp;"-"&amp;COUNTIFS($B$2:$B256,$B256))</f>
      </c>
      <c r="T256" s="5">
        <f t="shared" si="11"/>
        <v>0</v>
      </c>
    </row>
    <row r="257" ht="27.75" customHeight="1" spans="1:20" x14ac:dyDescent="0.25">
      <c r="A257" s="2"/>
      <c r="B257" s="2"/>
      <c r="C257" s="7">
        <f>IF($B257="","",IFERROR(INDEX('Meetings (MOM)'!$B$2:$B$201,MATCH($B257,'Meetings (MOM)'!$A$2:$A$201,0)),""))</f>
      </c>
      <c r="D257" s="5">
        <f>IF($B257="","",IFERROR(INDEX('Meetings (MOM)'!$C$2:$C$201,MATCH($B257,'Meetings (MOM)'!$A$2:$A$201,0)),""))</f>
      </c>
      <c r="E257" s="4"/>
      <c r="F257" s="2"/>
      <c r="G257" s="2"/>
      <c r="H257" s="2"/>
      <c r="I257" s="8"/>
      <c r="J257" s="8"/>
      <c r="K257" s="8"/>
      <c r="L257" s="2"/>
      <c r="M257" s="9"/>
      <c r="N257" s="8"/>
      <c r="O257" s="10">
        <f t="shared" si="9"/>
      </c>
      <c r="P257" s="4"/>
      <c r="Q257" s="5">
        <f t="shared" si="10"/>
      </c>
      <c r="R257" s="4"/>
      <c r="S257" s="5">
        <f>IF($B257="","",$B257&amp;"-"&amp;COUNTIFS($B$2:$B257,$B257))</f>
      </c>
      <c r="T257" s="5">
        <f t="shared" si="11"/>
        <v>0</v>
      </c>
    </row>
    <row r="258" ht="27.75" customHeight="1" spans="1:20" x14ac:dyDescent="0.25">
      <c r="A258" s="2"/>
      <c r="B258" s="2"/>
      <c r="C258" s="7">
        <f>IF($B258="","",IFERROR(INDEX('Meetings (MOM)'!$B$2:$B$201,MATCH($B258,'Meetings (MOM)'!$A$2:$A$201,0)),""))</f>
      </c>
      <c r="D258" s="5">
        <f>IF($B258="","",IFERROR(INDEX('Meetings (MOM)'!$C$2:$C$201,MATCH($B258,'Meetings (MOM)'!$A$2:$A$201,0)),""))</f>
      </c>
      <c r="E258" s="4"/>
      <c r="F258" s="2"/>
      <c r="G258" s="2"/>
      <c r="H258" s="2"/>
      <c r="I258" s="8"/>
      <c r="J258" s="8"/>
      <c r="K258" s="8"/>
      <c r="L258" s="2"/>
      <c r="M258" s="9"/>
      <c r="N258" s="8"/>
      <c r="O258" s="10">
        <f t="shared" ref="O258:O321" si="12">IF(OR($A258="",IF($K258="",$J258,$K258)=""),"",IF($L258="Completed",IF($N258="","",$N258-IF($K258="",$J258,$K258)),IF($L258="Cancelled","",TODAY()-IF($K258="",$J258,$K258))))</f>
      </c>
      <c r="P258" s="4"/>
      <c r="Q258" s="5">
        <f t="shared" ref="Q258:Q321" si="13">IF($A258="","",IF(OR($L258="Completed",$L258="Cancelled"),"Closed",IF(IF($K258="",$J258,$K258)="","Set deadline",IF(TODAY()&gt;IF($K258="",$J258,$K258),"OVERDUE - Escalate",IF(IF($K258="",$J258,$K258)-TODAY()&lt;=3,"Send Reminder","On Track")))))</f>
      </c>
      <c r="R258" s="4"/>
      <c r="S258" s="5">
        <f>IF($B258="","",$B258&amp;"-"&amp;COUNTIFS($B$2:$B258,$B258))</f>
      </c>
      <c r="T258" s="5">
        <f t="shared" ref="T258:T321" si="14">IF($A258="",0,IF(OR($L258="Completed",$L258="Cancelled"),0,IF(IF($K258="",$J258,$K258)="",0,IF(TODAY()&gt;IF($K258="",$J258,$K258),1,0))))</f>
        <v>0</v>
      </c>
    </row>
    <row r="259" ht="27.75" customHeight="1" spans="1:20" x14ac:dyDescent="0.25">
      <c r="A259" s="2"/>
      <c r="B259" s="2"/>
      <c r="C259" s="7">
        <f>IF($B259="","",IFERROR(INDEX('Meetings (MOM)'!$B$2:$B$201,MATCH($B259,'Meetings (MOM)'!$A$2:$A$201,0)),""))</f>
      </c>
      <c r="D259" s="5">
        <f>IF($B259="","",IFERROR(INDEX('Meetings (MOM)'!$C$2:$C$201,MATCH($B259,'Meetings (MOM)'!$A$2:$A$201,0)),""))</f>
      </c>
      <c r="E259" s="4"/>
      <c r="F259" s="2"/>
      <c r="G259" s="2"/>
      <c r="H259" s="2"/>
      <c r="I259" s="8"/>
      <c r="J259" s="8"/>
      <c r="K259" s="8"/>
      <c r="L259" s="2"/>
      <c r="M259" s="9"/>
      <c r="N259" s="8"/>
      <c r="O259" s="10">
        <f t="shared" si="12"/>
      </c>
      <c r="P259" s="4"/>
      <c r="Q259" s="5">
        <f t="shared" si="13"/>
      </c>
      <c r="R259" s="4"/>
      <c r="S259" s="5">
        <f>IF($B259="","",$B259&amp;"-"&amp;COUNTIFS($B$2:$B259,$B259))</f>
      </c>
      <c r="T259" s="5">
        <f t="shared" si="14"/>
        <v>0</v>
      </c>
    </row>
    <row r="260" ht="27.75" customHeight="1" spans="1:20" x14ac:dyDescent="0.25">
      <c r="A260" s="2"/>
      <c r="B260" s="2"/>
      <c r="C260" s="7">
        <f>IF($B260="","",IFERROR(INDEX('Meetings (MOM)'!$B$2:$B$201,MATCH($B260,'Meetings (MOM)'!$A$2:$A$201,0)),""))</f>
      </c>
      <c r="D260" s="5">
        <f>IF($B260="","",IFERROR(INDEX('Meetings (MOM)'!$C$2:$C$201,MATCH($B260,'Meetings (MOM)'!$A$2:$A$201,0)),""))</f>
      </c>
      <c r="E260" s="4"/>
      <c r="F260" s="2"/>
      <c r="G260" s="2"/>
      <c r="H260" s="2"/>
      <c r="I260" s="8"/>
      <c r="J260" s="8"/>
      <c r="K260" s="8"/>
      <c r="L260" s="2"/>
      <c r="M260" s="9"/>
      <c r="N260" s="8"/>
      <c r="O260" s="10">
        <f t="shared" si="12"/>
      </c>
      <c r="P260" s="4"/>
      <c r="Q260" s="5">
        <f t="shared" si="13"/>
      </c>
      <c r="R260" s="4"/>
      <c r="S260" s="5">
        <f>IF($B260="","",$B260&amp;"-"&amp;COUNTIFS($B$2:$B260,$B260))</f>
      </c>
      <c r="T260" s="5">
        <f t="shared" si="14"/>
        <v>0</v>
      </c>
    </row>
    <row r="261" ht="27.75" customHeight="1" spans="1:20" x14ac:dyDescent="0.25">
      <c r="A261" s="2"/>
      <c r="B261" s="2"/>
      <c r="C261" s="7">
        <f>IF($B261="","",IFERROR(INDEX('Meetings (MOM)'!$B$2:$B$201,MATCH($B261,'Meetings (MOM)'!$A$2:$A$201,0)),""))</f>
      </c>
      <c r="D261" s="5">
        <f>IF($B261="","",IFERROR(INDEX('Meetings (MOM)'!$C$2:$C$201,MATCH($B261,'Meetings (MOM)'!$A$2:$A$201,0)),""))</f>
      </c>
      <c r="E261" s="4"/>
      <c r="F261" s="2"/>
      <c r="G261" s="2"/>
      <c r="H261" s="2"/>
      <c r="I261" s="8"/>
      <c r="J261" s="8"/>
      <c r="K261" s="8"/>
      <c r="L261" s="2"/>
      <c r="M261" s="9"/>
      <c r="N261" s="8"/>
      <c r="O261" s="10">
        <f t="shared" si="12"/>
      </c>
      <c r="P261" s="4"/>
      <c r="Q261" s="5">
        <f t="shared" si="13"/>
      </c>
      <c r="R261" s="4"/>
      <c r="S261" s="5">
        <f>IF($B261="","",$B261&amp;"-"&amp;COUNTIFS($B$2:$B261,$B261))</f>
      </c>
      <c r="T261" s="5">
        <f t="shared" si="14"/>
        <v>0</v>
      </c>
    </row>
    <row r="262" ht="27.75" customHeight="1" spans="1:20" x14ac:dyDescent="0.25">
      <c r="A262" s="2"/>
      <c r="B262" s="2"/>
      <c r="C262" s="7">
        <f>IF($B262="","",IFERROR(INDEX('Meetings (MOM)'!$B$2:$B$201,MATCH($B262,'Meetings (MOM)'!$A$2:$A$201,0)),""))</f>
      </c>
      <c r="D262" s="5">
        <f>IF($B262="","",IFERROR(INDEX('Meetings (MOM)'!$C$2:$C$201,MATCH($B262,'Meetings (MOM)'!$A$2:$A$201,0)),""))</f>
      </c>
      <c r="E262" s="4"/>
      <c r="F262" s="2"/>
      <c r="G262" s="2"/>
      <c r="H262" s="2"/>
      <c r="I262" s="8"/>
      <c r="J262" s="8"/>
      <c r="K262" s="8"/>
      <c r="L262" s="2"/>
      <c r="M262" s="9"/>
      <c r="N262" s="8"/>
      <c r="O262" s="10">
        <f t="shared" si="12"/>
      </c>
      <c r="P262" s="4"/>
      <c r="Q262" s="5">
        <f t="shared" si="13"/>
      </c>
      <c r="R262" s="4"/>
      <c r="S262" s="5">
        <f>IF($B262="","",$B262&amp;"-"&amp;COUNTIFS($B$2:$B262,$B262))</f>
      </c>
      <c r="T262" s="5">
        <f t="shared" si="14"/>
        <v>0</v>
      </c>
    </row>
    <row r="263" ht="27.75" customHeight="1" spans="1:20" x14ac:dyDescent="0.25">
      <c r="A263" s="2"/>
      <c r="B263" s="2"/>
      <c r="C263" s="7">
        <f>IF($B263="","",IFERROR(INDEX('Meetings (MOM)'!$B$2:$B$201,MATCH($B263,'Meetings (MOM)'!$A$2:$A$201,0)),""))</f>
      </c>
      <c r="D263" s="5">
        <f>IF($B263="","",IFERROR(INDEX('Meetings (MOM)'!$C$2:$C$201,MATCH($B263,'Meetings (MOM)'!$A$2:$A$201,0)),""))</f>
      </c>
      <c r="E263" s="4"/>
      <c r="F263" s="2"/>
      <c r="G263" s="2"/>
      <c r="H263" s="2"/>
      <c r="I263" s="8"/>
      <c r="J263" s="8"/>
      <c r="K263" s="8"/>
      <c r="L263" s="2"/>
      <c r="M263" s="9"/>
      <c r="N263" s="8"/>
      <c r="O263" s="10">
        <f t="shared" si="12"/>
      </c>
      <c r="P263" s="4"/>
      <c r="Q263" s="5">
        <f t="shared" si="13"/>
      </c>
      <c r="R263" s="4"/>
      <c r="S263" s="5">
        <f>IF($B263="","",$B263&amp;"-"&amp;COUNTIFS($B$2:$B263,$B263))</f>
      </c>
      <c r="T263" s="5">
        <f t="shared" si="14"/>
        <v>0</v>
      </c>
    </row>
    <row r="264" ht="27.75" customHeight="1" spans="1:20" x14ac:dyDescent="0.25">
      <c r="A264" s="2"/>
      <c r="B264" s="2"/>
      <c r="C264" s="7">
        <f>IF($B264="","",IFERROR(INDEX('Meetings (MOM)'!$B$2:$B$201,MATCH($B264,'Meetings (MOM)'!$A$2:$A$201,0)),""))</f>
      </c>
      <c r="D264" s="5">
        <f>IF($B264="","",IFERROR(INDEX('Meetings (MOM)'!$C$2:$C$201,MATCH($B264,'Meetings (MOM)'!$A$2:$A$201,0)),""))</f>
      </c>
      <c r="E264" s="4"/>
      <c r="F264" s="2"/>
      <c r="G264" s="2"/>
      <c r="H264" s="2"/>
      <c r="I264" s="8"/>
      <c r="J264" s="8"/>
      <c r="K264" s="8"/>
      <c r="L264" s="2"/>
      <c r="M264" s="9"/>
      <c r="N264" s="8"/>
      <c r="O264" s="10">
        <f t="shared" si="12"/>
      </c>
      <c r="P264" s="4"/>
      <c r="Q264" s="5">
        <f t="shared" si="13"/>
      </c>
      <c r="R264" s="4"/>
      <c r="S264" s="5">
        <f>IF($B264="","",$B264&amp;"-"&amp;COUNTIFS($B$2:$B264,$B264))</f>
      </c>
      <c r="T264" s="5">
        <f t="shared" si="14"/>
        <v>0</v>
      </c>
    </row>
    <row r="265" ht="27.75" customHeight="1" spans="1:20" x14ac:dyDescent="0.25">
      <c r="A265" s="2"/>
      <c r="B265" s="2"/>
      <c r="C265" s="7">
        <f>IF($B265="","",IFERROR(INDEX('Meetings (MOM)'!$B$2:$B$201,MATCH($B265,'Meetings (MOM)'!$A$2:$A$201,0)),""))</f>
      </c>
      <c r="D265" s="5">
        <f>IF($B265="","",IFERROR(INDEX('Meetings (MOM)'!$C$2:$C$201,MATCH($B265,'Meetings (MOM)'!$A$2:$A$201,0)),""))</f>
      </c>
      <c r="E265" s="4"/>
      <c r="F265" s="2"/>
      <c r="G265" s="2"/>
      <c r="H265" s="2"/>
      <c r="I265" s="8"/>
      <c r="J265" s="8"/>
      <c r="K265" s="8"/>
      <c r="L265" s="2"/>
      <c r="M265" s="9"/>
      <c r="N265" s="8"/>
      <c r="O265" s="10">
        <f t="shared" si="12"/>
      </c>
      <c r="P265" s="4"/>
      <c r="Q265" s="5">
        <f t="shared" si="13"/>
      </c>
      <c r="R265" s="4"/>
      <c r="S265" s="5">
        <f>IF($B265="","",$B265&amp;"-"&amp;COUNTIFS($B$2:$B265,$B265))</f>
      </c>
      <c r="T265" s="5">
        <f t="shared" si="14"/>
        <v>0</v>
      </c>
    </row>
    <row r="266" ht="27.75" customHeight="1" spans="1:20" x14ac:dyDescent="0.25">
      <c r="A266" s="2"/>
      <c r="B266" s="2"/>
      <c r="C266" s="7">
        <f>IF($B266="","",IFERROR(INDEX('Meetings (MOM)'!$B$2:$B$201,MATCH($B266,'Meetings (MOM)'!$A$2:$A$201,0)),""))</f>
      </c>
      <c r="D266" s="5">
        <f>IF($B266="","",IFERROR(INDEX('Meetings (MOM)'!$C$2:$C$201,MATCH($B266,'Meetings (MOM)'!$A$2:$A$201,0)),""))</f>
      </c>
      <c r="E266" s="4"/>
      <c r="F266" s="2"/>
      <c r="G266" s="2"/>
      <c r="H266" s="2"/>
      <c r="I266" s="8"/>
      <c r="J266" s="8"/>
      <c r="K266" s="8"/>
      <c r="L266" s="2"/>
      <c r="M266" s="9"/>
      <c r="N266" s="8"/>
      <c r="O266" s="10">
        <f t="shared" si="12"/>
      </c>
      <c r="P266" s="4"/>
      <c r="Q266" s="5">
        <f t="shared" si="13"/>
      </c>
      <c r="R266" s="4"/>
      <c r="S266" s="5">
        <f>IF($B266="","",$B266&amp;"-"&amp;COUNTIFS($B$2:$B266,$B266))</f>
      </c>
      <c r="T266" s="5">
        <f t="shared" si="14"/>
        <v>0</v>
      </c>
    </row>
    <row r="267" ht="27.75" customHeight="1" spans="1:20" x14ac:dyDescent="0.25">
      <c r="A267" s="2"/>
      <c r="B267" s="2"/>
      <c r="C267" s="7">
        <f>IF($B267="","",IFERROR(INDEX('Meetings (MOM)'!$B$2:$B$201,MATCH($B267,'Meetings (MOM)'!$A$2:$A$201,0)),""))</f>
      </c>
      <c r="D267" s="5">
        <f>IF($B267="","",IFERROR(INDEX('Meetings (MOM)'!$C$2:$C$201,MATCH($B267,'Meetings (MOM)'!$A$2:$A$201,0)),""))</f>
      </c>
      <c r="E267" s="4"/>
      <c r="F267" s="2"/>
      <c r="G267" s="2"/>
      <c r="H267" s="2"/>
      <c r="I267" s="8"/>
      <c r="J267" s="8"/>
      <c r="K267" s="8"/>
      <c r="L267" s="2"/>
      <c r="M267" s="9"/>
      <c r="N267" s="8"/>
      <c r="O267" s="10">
        <f t="shared" si="12"/>
      </c>
      <c r="P267" s="4"/>
      <c r="Q267" s="5">
        <f t="shared" si="13"/>
      </c>
      <c r="R267" s="4"/>
      <c r="S267" s="5">
        <f>IF($B267="","",$B267&amp;"-"&amp;COUNTIFS($B$2:$B267,$B267))</f>
      </c>
      <c r="T267" s="5">
        <f t="shared" si="14"/>
        <v>0</v>
      </c>
    </row>
    <row r="268" ht="27.75" customHeight="1" spans="1:20" x14ac:dyDescent="0.25">
      <c r="A268" s="2"/>
      <c r="B268" s="2"/>
      <c r="C268" s="7">
        <f>IF($B268="","",IFERROR(INDEX('Meetings (MOM)'!$B$2:$B$201,MATCH($B268,'Meetings (MOM)'!$A$2:$A$201,0)),""))</f>
      </c>
      <c r="D268" s="5">
        <f>IF($B268="","",IFERROR(INDEX('Meetings (MOM)'!$C$2:$C$201,MATCH($B268,'Meetings (MOM)'!$A$2:$A$201,0)),""))</f>
      </c>
      <c r="E268" s="4"/>
      <c r="F268" s="2"/>
      <c r="G268" s="2"/>
      <c r="H268" s="2"/>
      <c r="I268" s="8"/>
      <c r="J268" s="8"/>
      <c r="K268" s="8"/>
      <c r="L268" s="2"/>
      <c r="M268" s="9"/>
      <c r="N268" s="8"/>
      <c r="O268" s="10">
        <f t="shared" si="12"/>
      </c>
      <c r="P268" s="4"/>
      <c r="Q268" s="5">
        <f t="shared" si="13"/>
      </c>
      <c r="R268" s="4"/>
      <c r="S268" s="5">
        <f>IF($B268="","",$B268&amp;"-"&amp;COUNTIFS($B$2:$B268,$B268))</f>
      </c>
      <c r="T268" s="5">
        <f t="shared" si="14"/>
        <v>0</v>
      </c>
    </row>
    <row r="269" ht="27.75" customHeight="1" spans="1:20" x14ac:dyDescent="0.25">
      <c r="A269" s="2"/>
      <c r="B269" s="2"/>
      <c r="C269" s="7">
        <f>IF($B269="","",IFERROR(INDEX('Meetings (MOM)'!$B$2:$B$201,MATCH($B269,'Meetings (MOM)'!$A$2:$A$201,0)),""))</f>
      </c>
      <c r="D269" s="5">
        <f>IF($B269="","",IFERROR(INDEX('Meetings (MOM)'!$C$2:$C$201,MATCH($B269,'Meetings (MOM)'!$A$2:$A$201,0)),""))</f>
      </c>
      <c r="E269" s="4"/>
      <c r="F269" s="2"/>
      <c r="G269" s="2"/>
      <c r="H269" s="2"/>
      <c r="I269" s="8"/>
      <c r="J269" s="8"/>
      <c r="K269" s="8"/>
      <c r="L269" s="2"/>
      <c r="M269" s="9"/>
      <c r="N269" s="8"/>
      <c r="O269" s="10">
        <f t="shared" si="12"/>
      </c>
      <c r="P269" s="4"/>
      <c r="Q269" s="5">
        <f t="shared" si="13"/>
      </c>
      <c r="R269" s="4"/>
      <c r="S269" s="5">
        <f>IF($B269="","",$B269&amp;"-"&amp;COUNTIFS($B$2:$B269,$B269))</f>
      </c>
      <c r="T269" s="5">
        <f t="shared" si="14"/>
        <v>0</v>
      </c>
    </row>
    <row r="270" ht="27.75" customHeight="1" spans="1:20" x14ac:dyDescent="0.25">
      <c r="A270" s="2"/>
      <c r="B270" s="2"/>
      <c r="C270" s="7">
        <f>IF($B270="","",IFERROR(INDEX('Meetings (MOM)'!$B$2:$B$201,MATCH($B270,'Meetings (MOM)'!$A$2:$A$201,0)),""))</f>
      </c>
      <c r="D270" s="5">
        <f>IF($B270="","",IFERROR(INDEX('Meetings (MOM)'!$C$2:$C$201,MATCH($B270,'Meetings (MOM)'!$A$2:$A$201,0)),""))</f>
      </c>
      <c r="E270" s="4"/>
      <c r="F270" s="2"/>
      <c r="G270" s="2"/>
      <c r="H270" s="2"/>
      <c r="I270" s="8"/>
      <c r="J270" s="8"/>
      <c r="K270" s="8"/>
      <c r="L270" s="2"/>
      <c r="M270" s="9"/>
      <c r="N270" s="8"/>
      <c r="O270" s="10">
        <f t="shared" si="12"/>
      </c>
      <c r="P270" s="4"/>
      <c r="Q270" s="5">
        <f t="shared" si="13"/>
      </c>
      <c r="R270" s="4"/>
      <c r="S270" s="5">
        <f>IF($B270="","",$B270&amp;"-"&amp;COUNTIFS($B$2:$B270,$B270))</f>
      </c>
      <c r="T270" s="5">
        <f t="shared" si="14"/>
        <v>0</v>
      </c>
    </row>
    <row r="271" ht="27.75" customHeight="1" spans="1:20" x14ac:dyDescent="0.25">
      <c r="A271" s="2"/>
      <c r="B271" s="2"/>
      <c r="C271" s="7">
        <f>IF($B271="","",IFERROR(INDEX('Meetings (MOM)'!$B$2:$B$201,MATCH($B271,'Meetings (MOM)'!$A$2:$A$201,0)),""))</f>
      </c>
      <c r="D271" s="5">
        <f>IF($B271="","",IFERROR(INDEX('Meetings (MOM)'!$C$2:$C$201,MATCH($B271,'Meetings (MOM)'!$A$2:$A$201,0)),""))</f>
      </c>
      <c r="E271" s="4"/>
      <c r="F271" s="2"/>
      <c r="G271" s="2"/>
      <c r="H271" s="2"/>
      <c r="I271" s="8"/>
      <c r="J271" s="8"/>
      <c r="K271" s="8"/>
      <c r="L271" s="2"/>
      <c r="M271" s="9"/>
      <c r="N271" s="8"/>
      <c r="O271" s="10">
        <f t="shared" si="12"/>
      </c>
      <c r="P271" s="4"/>
      <c r="Q271" s="5">
        <f t="shared" si="13"/>
      </c>
      <c r="R271" s="4"/>
      <c r="S271" s="5">
        <f>IF($B271="","",$B271&amp;"-"&amp;COUNTIFS($B$2:$B271,$B271))</f>
      </c>
      <c r="T271" s="5">
        <f t="shared" si="14"/>
        <v>0</v>
      </c>
    </row>
    <row r="272" ht="27.75" customHeight="1" spans="1:20" x14ac:dyDescent="0.25">
      <c r="A272" s="2"/>
      <c r="B272" s="2"/>
      <c r="C272" s="7">
        <f>IF($B272="","",IFERROR(INDEX('Meetings (MOM)'!$B$2:$B$201,MATCH($B272,'Meetings (MOM)'!$A$2:$A$201,0)),""))</f>
      </c>
      <c r="D272" s="5">
        <f>IF($B272="","",IFERROR(INDEX('Meetings (MOM)'!$C$2:$C$201,MATCH($B272,'Meetings (MOM)'!$A$2:$A$201,0)),""))</f>
      </c>
      <c r="E272" s="4"/>
      <c r="F272" s="2"/>
      <c r="G272" s="2"/>
      <c r="H272" s="2"/>
      <c r="I272" s="8"/>
      <c r="J272" s="8"/>
      <c r="K272" s="8"/>
      <c r="L272" s="2"/>
      <c r="M272" s="9"/>
      <c r="N272" s="8"/>
      <c r="O272" s="10">
        <f t="shared" si="12"/>
      </c>
      <c r="P272" s="4"/>
      <c r="Q272" s="5">
        <f t="shared" si="13"/>
      </c>
      <c r="R272" s="4"/>
      <c r="S272" s="5">
        <f>IF($B272="","",$B272&amp;"-"&amp;COUNTIFS($B$2:$B272,$B272))</f>
      </c>
      <c r="T272" s="5">
        <f t="shared" si="14"/>
        <v>0</v>
      </c>
    </row>
    <row r="273" ht="27.75" customHeight="1" spans="1:20" x14ac:dyDescent="0.25">
      <c r="A273" s="2"/>
      <c r="B273" s="2"/>
      <c r="C273" s="7">
        <f>IF($B273="","",IFERROR(INDEX('Meetings (MOM)'!$B$2:$B$201,MATCH($B273,'Meetings (MOM)'!$A$2:$A$201,0)),""))</f>
      </c>
      <c r="D273" s="5">
        <f>IF($B273="","",IFERROR(INDEX('Meetings (MOM)'!$C$2:$C$201,MATCH($B273,'Meetings (MOM)'!$A$2:$A$201,0)),""))</f>
      </c>
      <c r="E273" s="4"/>
      <c r="F273" s="2"/>
      <c r="G273" s="2"/>
      <c r="H273" s="2"/>
      <c r="I273" s="8"/>
      <c r="J273" s="8"/>
      <c r="K273" s="8"/>
      <c r="L273" s="2"/>
      <c r="M273" s="9"/>
      <c r="N273" s="8"/>
      <c r="O273" s="10">
        <f t="shared" si="12"/>
      </c>
      <c r="P273" s="4"/>
      <c r="Q273" s="5">
        <f t="shared" si="13"/>
      </c>
      <c r="R273" s="4"/>
      <c r="S273" s="5">
        <f>IF($B273="","",$B273&amp;"-"&amp;COUNTIFS($B$2:$B273,$B273))</f>
      </c>
      <c r="T273" s="5">
        <f t="shared" si="14"/>
        <v>0</v>
      </c>
    </row>
    <row r="274" ht="27.75" customHeight="1" spans="1:20" x14ac:dyDescent="0.25">
      <c r="A274" s="2"/>
      <c r="B274" s="2"/>
      <c r="C274" s="7">
        <f>IF($B274="","",IFERROR(INDEX('Meetings (MOM)'!$B$2:$B$201,MATCH($B274,'Meetings (MOM)'!$A$2:$A$201,0)),""))</f>
      </c>
      <c r="D274" s="5">
        <f>IF($B274="","",IFERROR(INDEX('Meetings (MOM)'!$C$2:$C$201,MATCH($B274,'Meetings (MOM)'!$A$2:$A$201,0)),""))</f>
      </c>
      <c r="E274" s="4"/>
      <c r="F274" s="2"/>
      <c r="G274" s="2"/>
      <c r="H274" s="2"/>
      <c r="I274" s="8"/>
      <c r="J274" s="8"/>
      <c r="K274" s="8"/>
      <c r="L274" s="2"/>
      <c r="M274" s="9"/>
      <c r="N274" s="8"/>
      <c r="O274" s="10">
        <f t="shared" si="12"/>
      </c>
      <c r="P274" s="4"/>
      <c r="Q274" s="5">
        <f t="shared" si="13"/>
      </c>
      <c r="R274" s="4"/>
      <c r="S274" s="5">
        <f>IF($B274="","",$B274&amp;"-"&amp;COUNTIFS($B$2:$B274,$B274))</f>
      </c>
      <c r="T274" s="5">
        <f t="shared" si="14"/>
        <v>0</v>
      </c>
    </row>
    <row r="275" ht="27.75" customHeight="1" spans="1:20" x14ac:dyDescent="0.25">
      <c r="A275" s="2"/>
      <c r="B275" s="2"/>
      <c r="C275" s="7">
        <f>IF($B275="","",IFERROR(INDEX('Meetings (MOM)'!$B$2:$B$201,MATCH($B275,'Meetings (MOM)'!$A$2:$A$201,0)),""))</f>
      </c>
      <c r="D275" s="5">
        <f>IF($B275="","",IFERROR(INDEX('Meetings (MOM)'!$C$2:$C$201,MATCH($B275,'Meetings (MOM)'!$A$2:$A$201,0)),""))</f>
      </c>
      <c r="E275" s="4"/>
      <c r="F275" s="2"/>
      <c r="G275" s="2"/>
      <c r="H275" s="2"/>
      <c r="I275" s="8"/>
      <c r="J275" s="8"/>
      <c r="K275" s="8"/>
      <c r="L275" s="2"/>
      <c r="M275" s="9"/>
      <c r="N275" s="8"/>
      <c r="O275" s="10">
        <f t="shared" si="12"/>
      </c>
      <c r="P275" s="4"/>
      <c r="Q275" s="5">
        <f t="shared" si="13"/>
      </c>
      <c r="R275" s="4"/>
      <c r="S275" s="5">
        <f>IF($B275="","",$B275&amp;"-"&amp;COUNTIFS($B$2:$B275,$B275))</f>
      </c>
      <c r="T275" s="5">
        <f t="shared" si="14"/>
        <v>0</v>
      </c>
    </row>
    <row r="276" ht="27.75" customHeight="1" spans="1:20" x14ac:dyDescent="0.25">
      <c r="A276" s="2"/>
      <c r="B276" s="2"/>
      <c r="C276" s="7">
        <f>IF($B276="","",IFERROR(INDEX('Meetings (MOM)'!$B$2:$B$201,MATCH($B276,'Meetings (MOM)'!$A$2:$A$201,0)),""))</f>
      </c>
      <c r="D276" s="5">
        <f>IF($B276="","",IFERROR(INDEX('Meetings (MOM)'!$C$2:$C$201,MATCH($B276,'Meetings (MOM)'!$A$2:$A$201,0)),""))</f>
      </c>
      <c r="E276" s="4"/>
      <c r="F276" s="2"/>
      <c r="G276" s="2"/>
      <c r="H276" s="2"/>
      <c r="I276" s="8"/>
      <c r="J276" s="8"/>
      <c r="K276" s="8"/>
      <c r="L276" s="2"/>
      <c r="M276" s="9"/>
      <c r="N276" s="8"/>
      <c r="O276" s="10">
        <f t="shared" si="12"/>
      </c>
      <c r="P276" s="4"/>
      <c r="Q276" s="5">
        <f t="shared" si="13"/>
      </c>
      <c r="R276" s="4"/>
      <c r="S276" s="5">
        <f>IF($B276="","",$B276&amp;"-"&amp;COUNTIFS($B$2:$B276,$B276))</f>
      </c>
      <c r="T276" s="5">
        <f t="shared" si="14"/>
        <v>0</v>
      </c>
    </row>
    <row r="277" ht="27.75" customHeight="1" spans="1:20" x14ac:dyDescent="0.25">
      <c r="A277" s="2"/>
      <c r="B277" s="2"/>
      <c r="C277" s="7">
        <f>IF($B277="","",IFERROR(INDEX('Meetings (MOM)'!$B$2:$B$201,MATCH($B277,'Meetings (MOM)'!$A$2:$A$201,0)),""))</f>
      </c>
      <c r="D277" s="5">
        <f>IF($B277="","",IFERROR(INDEX('Meetings (MOM)'!$C$2:$C$201,MATCH($B277,'Meetings (MOM)'!$A$2:$A$201,0)),""))</f>
      </c>
      <c r="E277" s="4"/>
      <c r="F277" s="2"/>
      <c r="G277" s="2"/>
      <c r="H277" s="2"/>
      <c r="I277" s="8"/>
      <c r="J277" s="8"/>
      <c r="K277" s="8"/>
      <c r="L277" s="2"/>
      <c r="M277" s="9"/>
      <c r="N277" s="8"/>
      <c r="O277" s="10">
        <f t="shared" si="12"/>
      </c>
      <c r="P277" s="4"/>
      <c r="Q277" s="5">
        <f t="shared" si="13"/>
      </c>
      <c r="R277" s="4"/>
      <c r="S277" s="5">
        <f>IF($B277="","",$B277&amp;"-"&amp;COUNTIFS($B$2:$B277,$B277))</f>
      </c>
      <c r="T277" s="5">
        <f t="shared" si="14"/>
        <v>0</v>
      </c>
    </row>
    <row r="278" ht="27.75" customHeight="1" spans="1:20" x14ac:dyDescent="0.25">
      <c r="A278" s="2"/>
      <c r="B278" s="2"/>
      <c r="C278" s="7">
        <f>IF($B278="","",IFERROR(INDEX('Meetings (MOM)'!$B$2:$B$201,MATCH($B278,'Meetings (MOM)'!$A$2:$A$201,0)),""))</f>
      </c>
      <c r="D278" s="5">
        <f>IF($B278="","",IFERROR(INDEX('Meetings (MOM)'!$C$2:$C$201,MATCH($B278,'Meetings (MOM)'!$A$2:$A$201,0)),""))</f>
      </c>
      <c r="E278" s="4"/>
      <c r="F278" s="2"/>
      <c r="G278" s="2"/>
      <c r="H278" s="2"/>
      <c r="I278" s="8"/>
      <c r="J278" s="8"/>
      <c r="K278" s="8"/>
      <c r="L278" s="2"/>
      <c r="M278" s="9"/>
      <c r="N278" s="8"/>
      <c r="O278" s="10">
        <f t="shared" si="12"/>
      </c>
      <c r="P278" s="4"/>
      <c r="Q278" s="5">
        <f t="shared" si="13"/>
      </c>
      <c r="R278" s="4"/>
      <c r="S278" s="5">
        <f>IF($B278="","",$B278&amp;"-"&amp;COUNTIFS($B$2:$B278,$B278))</f>
      </c>
      <c r="T278" s="5">
        <f t="shared" si="14"/>
        <v>0</v>
      </c>
    </row>
    <row r="279" ht="27.75" customHeight="1" spans="1:20" x14ac:dyDescent="0.25">
      <c r="A279" s="2"/>
      <c r="B279" s="2"/>
      <c r="C279" s="7">
        <f>IF($B279="","",IFERROR(INDEX('Meetings (MOM)'!$B$2:$B$201,MATCH($B279,'Meetings (MOM)'!$A$2:$A$201,0)),""))</f>
      </c>
      <c r="D279" s="5">
        <f>IF($B279="","",IFERROR(INDEX('Meetings (MOM)'!$C$2:$C$201,MATCH($B279,'Meetings (MOM)'!$A$2:$A$201,0)),""))</f>
      </c>
      <c r="E279" s="4"/>
      <c r="F279" s="2"/>
      <c r="G279" s="2"/>
      <c r="H279" s="2"/>
      <c r="I279" s="8"/>
      <c r="J279" s="8"/>
      <c r="K279" s="8"/>
      <c r="L279" s="2"/>
      <c r="M279" s="9"/>
      <c r="N279" s="8"/>
      <c r="O279" s="10">
        <f t="shared" si="12"/>
      </c>
      <c r="P279" s="4"/>
      <c r="Q279" s="5">
        <f t="shared" si="13"/>
      </c>
      <c r="R279" s="4"/>
      <c r="S279" s="5">
        <f>IF($B279="","",$B279&amp;"-"&amp;COUNTIFS($B$2:$B279,$B279))</f>
      </c>
      <c r="T279" s="5">
        <f t="shared" si="14"/>
        <v>0</v>
      </c>
    </row>
    <row r="280" ht="27.75" customHeight="1" spans="1:20" x14ac:dyDescent="0.25">
      <c r="A280" s="2"/>
      <c r="B280" s="2"/>
      <c r="C280" s="7">
        <f>IF($B280="","",IFERROR(INDEX('Meetings (MOM)'!$B$2:$B$201,MATCH($B280,'Meetings (MOM)'!$A$2:$A$201,0)),""))</f>
      </c>
      <c r="D280" s="5">
        <f>IF($B280="","",IFERROR(INDEX('Meetings (MOM)'!$C$2:$C$201,MATCH($B280,'Meetings (MOM)'!$A$2:$A$201,0)),""))</f>
      </c>
      <c r="E280" s="4"/>
      <c r="F280" s="2"/>
      <c r="G280" s="2"/>
      <c r="H280" s="2"/>
      <c r="I280" s="8"/>
      <c r="J280" s="8"/>
      <c r="K280" s="8"/>
      <c r="L280" s="2"/>
      <c r="M280" s="9"/>
      <c r="N280" s="8"/>
      <c r="O280" s="10">
        <f t="shared" si="12"/>
      </c>
      <c r="P280" s="4"/>
      <c r="Q280" s="5">
        <f t="shared" si="13"/>
      </c>
      <c r="R280" s="4"/>
      <c r="S280" s="5">
        <f>IF($B280="","",$B280&amp;"-"&amp;COUNTIFS($B$2:$B280,$B280))</f>
      </c>
      <c r="T280" s="5">
        <f t="shared" si="14"/>
        <v>0</v>
      </c>
    </row>
    <row r="281" ht="27.75" customHeight="1" spans="1:20" x14ac:dyDescent="0.25">
      <c r="A281" s="2"/>
      <c r="B281" s="2"/>
      <c r="C281" s="7">
        <f>IF($B281="","",IFERROR(INDEX('Meetings (MOM)'!$B$2:$B$201,MATCH($B281,'Meetings (MOM)'!$A$2:$A$201,0)),""))</f>
      </c>
      <c r="D281" s="5">
        <f>IF($B281="","",IFERROR(INDEX('Meetings (MOM)'!$C$2:$C$201,MATCH($B281,'Meetings (MOM)'!$A$2:$A$201,0)),""))</f>
      </c>
      <c r="E281" s="4"/>
      <c r="F281" s="2"/>
      <c r="G281" s="2"/>
      <c r="H281" s="2"/>
      <c r="I281" s="8"/>
      <c r="J281" s="8"/>
      <c r="K281" s="8"/>
      <c r="L281" s="2"/>
      <c r="M281" s="9"/>
      <c r="N281" s="8"/>
      <c r="O281" s="10">
        <f t="shared" si="12"/>
      </c>
      <c r="P281" s="4"/>
      <c r="Q281" s="5">
        <f t="shared" si="13"/>
      </c>
      <c r="R281" s="4"/>
      <c r="S281" s="5">
        <f>IF($B281="","",$B281&amp;"-"&amp;COUNTIFS($B$2:$B281,$B281))</f>
      </c>
      <c r="T281" s="5">
        <f t="shared" si="14"/>
        <v>0</v>
      </c>
    </row>
    <row r="282" ht="27.75" customHeight="1" spans="1:20" x14ac:dyDescent="0.25">
      <c r="A282" s="2"/>
      <c r="B282" s="2"/>
      <c r="C282" s="7">
        <f>IF($B282="","",IFERROR(INDEX('Meetings (MOM)'!$B$2:$B$201,MATCH($B282,'Meetings (MOM)'!$A$2:$A$201,0)),""))</f>
      </c>
      <c r="D282" s="5">
        <f>IF($B282="","",IFERROR(INDEX('Meetings (MOM)'!$C$2:$C$201,MATCH($B282,'Meetings (MOM)'!$A$2:$A$201,0)),""))</f>
      </c>
      <c r="E282" s="4"/>
      <c r="F282" s="2"/>
      <c r="G282" s="2"/>
      <c r="H282" s="2"/>
      <c r="I282" s="8"/>
      <c r="J282" s="8"/>
      <c r="K282" s="8"/>
      <c r="L282" s="2"/>
      <c r="M282" s="9"/>
      <c r="N282" s="8"/>
      <c r="O282" s="10">
        <f t="shared" si="12"/>
      </c>
      <c r="P282" s="4"/>
      <c r="Q282" s="5">
        <f t="shared" si="13"/>
      </c>
      <c r="R282" s="4"/>
      <c r="S282" s="5">
        <f>IF($B282="","",$B282&amp;"-"&amp;COUNTIFS($B$2:$B282,$B282))</f>
      </c>
      <c r="T282" s="5">
        <f t="shared" si="14"/>
        <v>0</v>
      </c>
    </row>
    <row r="283" ht="27.75" customHeight="1" spans="1:20" x14ac:dyDescent="0.25">
      <c r="A283" s="2"/>
      <c r="B283" s="2"/>
      <c r="C283" s="7">
        <f>IF($B283="","",IFERROR(INDEX('Meetings (MOM)'!$B$2:$B$201,MATCH($B283,'Meetings (MOM)'!$A$2:$A$201,0)),""))</f>
      </c>
      <c r="D283" s="5">
        <f>IF($B283="","",IFERROR(INDEX('Meetings (MOM)'!$C$2:$C$201,MATCH($B283,'Meetings (MOM)'!$A$2:$A$201,0)),""))</f>
      </c>
      <c r="E283" s="4"/>
      <c r="F283" s="2"/>
      <c r="G283" s="2"/>
      <c r="H283" s="2"/>
      <c r="I283" s="8"/>
      <c r="J283" s="8"/>
      <c r="K283" s="8"/>
      <c r="L283" s="2"/>
      <c r="M283" s="9"/>
      <c r="N283" s="8"/>
      <c r="O283" s="10">
        <f t="shared" si="12"/>
      </c>
      <c r="P283" s="4"/>
      <c r="Q283" s="5">
        <f t="shared" si="13"/>
      </c>
      <c r="R283" s="4"/>
      <c r="S283" s="5">
        <f>IF($B283="","",$B283&amp;"-"&amp;COUNTIFS($B$2:$B283,$B283))</f>
      </c>
      <c r="T283" s="5">
        <f t="shared" si="14"/>
        <v>0</v>
      </c>
    </row>
    <row r="284" ht="27.75" customHeight="1" spans="1:20" x14ac:dyDescent="0.25">
      <c r="A284" s="2"/>
      <c r="B284" s="2"/>
      <c r="C284" s="7">
        <f>IF($B284="","",IFERROR(INDEX('Meetings (MOM)'!$B$2:$B$201,MATCH($B284,'Meetings (MOM)'!$A$2:$A$201,0)),""))</f>
      </c>
      <c r="D284" s="5">
        <f>IF($B284="","",IFERROR(INDEX('Meetings (MOM)'!$C$2:$C$201,MATCH($B284,'Meetings (MOM)'!$A$2:$A$201,0)),""))</f>
      </c>
      <c r="E284" s="4"/>
      <c r="F284" s="2"/>
      <c r="G284" s="2"/>
      <c r="H284" s="2"/>
      <c r="I284" s="8"/>
      <c r="J284" s="8"/>
      <c r="K284" s="8"/>
      <c r="L284" s="2"/>
      <c r="M284" s="9"/>
      <c r="N284" s="8"/>
      <c r="O284" s="10">
        <f t="shared" si="12"/>
      </c>
      <c r="P284" s="4"/>
      <c r="Q284" s="5">
        <f t="shared" si="13"/>
      </c>
      <c r="R284" s="4"/>
      <c r="S284" s="5">
        <f>IF($B284="","",$B284&amp;"-"&amp;COUNTIFS($B$2:$B284,$B284))</f>
      </c>
      <c r="T284" s="5">
        <f t="shared" si="14"/>
        <v>0</v>
      </c>
    </row>
    <row r="285" ht="27.75" customHeight="1" spans="1:20" x14ac:dyDescent="0.25">
      <c r="A285" s="2"/>
      <c r="B285" s="2"/>
      <c r="C285" s="7">
        <f>IF($B285="","",IFERROR(INDEX('Meetings (MOM)'!$B$2:$B$201,MATCH($B285,'Meetings (MOM)'!$A$2:$A$201,0)),""))</f>
      </c>
      <c r="D285" s="5">
        <f>IF($B285="","",IFERROR(INDEX('Meetings (MOM)'!$C$2:$C$201,MATCH($B285,'Meetings (MOM)'!$A$2:$A$201,0)),""))</f>
      </c>
      <c r="E285" s="4"/>
      <c r="F285" s="2"/>
      <c r="G285" s="2"/>
      <c r="H285" s="2"/>
      <c r="I285" s="8"/>
      <c r="J285" s="8"/>
      <c r="K285" s="8"/>
      <c r="L285" s="2"/>
      <c r="M285" s="9"/>
      <c r="N285" s="8"/>
      <c r="O285" s="10">
        <f t="shared" si="12"/>
      </c>
      <c r="P285" s="4"/>
      <c r="Q285" s="5">
        <f t="shared" si="13"/>
      </c>
      <c r="R285" s="4"/>
      <c r="S285" s="5">
        <f>IF($B285="","",$B285&amp;"-"&amp;COUNTIFS($B$2:$B285,$B285))</f>
      </c>
      <c r="T285" s="5">
        <f t="shared" si="14"/>
        <v>0</v>
      </c>
    </row>
    <row r="286" ht="27.75" customHeight="1" spans="1:20" x14ac:dyDescent="0.25">
      <c r="A286" s="2"/>
      <c r="B286" s="2"/>
      <c r="C286" s="7">
        <f>IF($B286="","",IFERROR(INDEX('Meetings (MOM)'!$B$2:$B$201,MATCH($B286,'Meetings (MOM)'!$A$2:$A$201,0)),""))</f>
      </c>
      <c r="D286" s="5">
        <f>IF($B286="","",IFERROR(INDEX('Meetings (MOM)'!$C$2:$C$201,MATCH($B286,'Meetings (MOM)'!$A$2:$A$201,0)),""))</f>
      </c>
      <c r="E286" s="4"/>
      <c r="F286" s="2"/>
      <c r="G286" s="2"/>
      <c r="H286" s="2"/>
      <c r="I286" s="8"/>
      <c r="J286" s="8"/>
      <c r="K286" s="8"/>
      <c r="L286" s="2"/>
      <c r="M286" s="9"/>
      <c r="N286" s="8"/>
      <c r="O286" s="10">
        <f t="shared" si="12"/>
      </c>
      <c r="P286" s="4"/>
      <c r="Q286" s="5">
        <f t="shared" si="13"/>
      </c>
      <c r="R286" s="4"/>
      <c r="S286" s="5">
        <f>IF($B286="","",$B286&amp;"-"&amp;COUNTIFS($B$2:$B286,$B286))</f>
      </c>
      <c r="T286" s="5">
        <f t="shared" si="14"/>
        <v>0</v>
      </c>
    </row>
    <row r="287" ht="27.75" customHeight="1" spans="1:20" x14ac:dyDescent="0.25">
      <c r="A287" s="2"/>
      <c r="B287" s="2"/>
      <c r="C287" s="7">
        <f>IF($B287="","",IFERROR(INDEX('Meetings (MOM)'!$B$2:$B$201,MATCH($B287,'Meetings (MOM)'!$A$2:$A$201,0)),""))</f>
      </c>
      <c r="D287" s="5">
        <f>IF($B287="","",IFERROR(INDEX('Meetings (MOM)'!$C$2:$C$201,MATCH($B287,'Meetings (MOM)'!$A$2:$A$201,0)),""))</f>
      </c>
      <c r="E287" s="4"/>
      <c r="F287" s="2"/>
      <c r="G287" s="2"/>
      <c r="H287" s="2"/>
      <c r="I287" s="8"/>
      <c r="J287" s="8"/>
      <c r="K287" s="8"/>
      <c r="L287" s="2"/>
      <c r="M287" s="9"/>
      <c r="N287" s="8"/>
      <c r="O287" s="10">
        <f t="shared" si="12"/>
      </c>
      <c r="P287" s="4"/>
      <c r="Q287" s="5">
        <f t="shared" si="13"/>
      </c>
      <c r="R287" s="4"/>
      <c r="S287" s="5">
        <f>IF($B287="","",$B287&amp;"-"&amp;COUNTIFS($B$2:$B287,$B287))</f>
      </c>
      <c r="T287" s="5">
        <f t="shared" si="14"/>
        <v>0</v>
      </c>
    </row>
    <row r="288" ht="27.75" customHeight="1" spans="1:20" x14ac:dyDescent="0.25">
      <c r="A288" s="2"/>
      <c r="B288" s="2"/>
      <c r="C288" s="7">
        <f>IF($B288="","",IFERROR(INDEX('Meetings (MOM)'!$B$2:$B$201,MATCH($B288,'Meetings (MOM)'!$A$2:$A$201,0)),""))</f>
      </c>
      <c r="D288" s="5">
        <f>IF($B288="","",IFERROR(INDEX('Meetings (MOM)'!$C$2:$C$201,MATCH($B288,'Meetings (MOM)'!$A$2:$A$201,0)),""))</f>
      </c>
      <c r="E288" s="4"/>
      <c r="F288" s="2"/>
      <c r="G288" s="2"/>
      <c r="H288" s="2"/>
      <c r="I288" s="8"/>
      <c r="J288" s="8"/>
      <c r="K288" s="8"/>
      <c r="L288" s="2"/>
      <c r="M288" s="9"/>
      <c r="N288" s="8"/>
      <c r="O288" s="10">
        <f t="shared" si="12"/>
      </c>
      <c r="P288" s="4"/>
      <c r="Q288" s="5">
        <f t="shared" si="13"/>
      </c>
      <c r="R288" s="4"/>
      <c r="S288" s="5">
        <f>IF($B288="","",$B288&amp;"-"&amp;COUNTIFS($B$2:$B288,$B288))</f>
      </c>
      <c r="T288" s="5">
        <f t="shared" si="14"/>
        <v>0</v>
      </c>
    </row>
    <row r="289" ht="27.75" customHeight="1" spans="1:20" x14ac:dyDescent="0.25">
      <c r="A289" s="2"/>
      <c r="B289" s="2"/>
      <c r="C289" s="7">
        <f>IF($B289="","",IFERROR(INDEX('Meetings (MOM)'!$B$2:$B$201,MATCH($B289,'Meetings (MOM)'!$A$2:$A$201,0)),""))</f>
      </c>
      <c r="D289" s="5">
        <f>IF($B289="","",IFERROR(INDEX('Meetings (MOM)'!$C$2:$C$201,MATCH($B289,'Meetings (MOM)'!$A$2:$A$201,0)),""))</f>
      </c>
      <c r="E289" s="4"/>
      <c r="F289" s="2"/>
      <c r="G289" s="2"/>
      <c r="H289" s="2"/>
      <c r="I289" s="8"/>
      <c r="J289" s="8"/>
      <c r="K289" s="8"/>
      <c r="L289" s="2"/>
      <c r="M289" s="9"/>
      <c r="N289" s="8"/>
      <c r="O289" s="10">
        <f t="shared" si="12"/>
      </c>
      <c r="P289" s="4"/>
      <c r="Q289" s="5">
        <f t="shared" si="13"/>
      </c>
      <c r="R289" s="4"/>
      <c r="S289" s="5">
        <f>IF($B289="","",$B289&amp;"-"&amp;COUNTIFS($B$2:$B289,$B289))</f>
      </c>
      <c r="T289" s="5">
        <f t="shared" si="14"/>
        <v>0</v>
      </c>
    </row>
    <row r="290" ht="27.75" customHeight="1" spans="1:20" x14ac:dyDescent="0.25">
      <c r="A290" s="2"/>
      <c r="B290" s="2"/>
      <c r="C290" s="7">
        <f>IF($B290="","",IFERROR(INDEX('Meetings (MOM)'!$B$2:$B$201,MATCH($B290,'Meetings (MOM)'!$A$2:$A$201,0)),""))</f>
      </c>
      <c r="D290" s="5">
        <f>IF($B290="","",IFERROR(INDEX('Meetings (MOM)'!$C$2:$C$201,MATCH($B290,'Meetings (MOM)'!$A$2:$A$201,0)),""))</f>
      </c>
      <c r="E290" s="4"/>
      <c r="F290" s="2"/>
      <c r="G290" s="2"/>
      <c r="H290" s="2"/>
      <c r="I290" s="8"/>
      <c r="J290" s="8"/>
      <c r="K290" s="8"/>
      <c r="L290" s="2"/>
      <c r="M290" s="9"/>
      <c r="N290" s="8"/>
      <c r="O290" s="10">
        <f t="shared" si="12"/>
      </c>
      <c r="P290" s="4"/>
      <c r="Q290" s="5">
        <f t="shared" si="13"/>
      </c>
      <c r="R290" s="4"/>
      <c r="S290" s="5">
        <f>IF($B290="","",$B290&amp;"-"&amp;COUNTIFS($B$2:$B290,$B290))</f>
      </c>
      <c r="T290" s="5">
        <f t="shared" si="14"/>
        <v>0</v>
      </c>
    </row>
    <row r="291" ht="27.75" customHeight="1" spans="1:20" x14ac:dyDescent="0.25">
      <c r="A291" s="2"/>
      <c r="B291" s="2"/>
      <c r="C291" s="7">
        <f>IF($B291="","",IFERROR(INDEX('Meetings (MOM)'!$B$2:$B$201,MATCH($B291,'Meetings (MOM)'!$A$2:$A$201,0)),""))</f>
      </c>
      <c r="D291" s="5">
        <f>IF($B291="","",IFERROR(INDEX('Meetings (MOM)'!$C$2:$C$201,MATCH($B291,'Meetings (MOM)'!$A$2:$A$201,0)),""))</f>
      </c>
      <c r="E291" s="4"/>
      <c r="F291" s="2"/>
      <c r="G291" s="2"/>
      <c r="H291" s="2"/>
      <c r="I291" s="8"/>
      <c r="J291" s="8"/>
      <c r="K291" s="8"/>
      <c r="L291" s="2"/>
      <c r="M291" s="9"/>
      <c r="N291" s="8"/>
      <c r="O291" s="10">
        <f t="shared" si="12"/>
      </c>
      <c r="P291" s="4"/>
      <c r="Q291" s="5">
        <f t="shared" si="13"/>
      </c>
      <c r="R291" s="4"/>
      <c r="S291" s="5">
        <f>IF($B291="","",$B291&amp;"-"&amp;COUNTIFS($B$2:$B291,$B291))</f>
      </c>
      <c r="T291" s="5">
        <f t="shared" si="14"/>
        <v>0</v>
      </c>
    </row>
    <row r="292" ht="27.75" customHeight="1" spans="1:20" x14ac:dyDescent="0.25">
      <c r="A292" s="2"/>
      <c r="B292" s="2"/>
      <c r="C292" s="7">
        <f>IF($B292="","",IFERROR(INDEX('Meetings (MOM)'!$B$2:$B$201,MATCH($B292,'Meetings (MOM)'!$A$2:$A$201,0)),""))</f>
      </c>
      <c r="D292" s="5">
        <f>IF($B292="","",IFERROR(INDEX('Meetings (MOM)'!$C$2:$C$201,MATCH($B292,'Meetings (MOM)'!$A$2:$A$201,0)),""))</f>
      </c>
      <c r="E292" s="4"/>
      <c r="F292" s="2"/>
      <c r="G292" s="2"/>
      <c r="H292" s="2"/>
      <c r="I292" s="8"/>
      <c r="J292" s="8"/>
      <c r="K292" s="8"/>
      <c r="L292" s="2"/>
      <c r="M292" s="9"/>
      <c r="N292" s="8"/>
      <c r="O292" s="10">
        <f t="shared" si="12"/>
      </c>
      <c r="P292" s="4"/>
      <c r="Q292" s="5">
        <f t="shared" si="13"/>
      </c>
      <c r="R292" s="4"/>
      <c r="S292" s="5">
        <f>IF($B292="","",$B292&amp;"-"&amp;COUNTIFS($B$2:$B292,$B292))</f>
      </c>
      <c r="T292" s="5">
        <f t="shared" si="14"/>
        <v>0</v>
      </c>
    </row>
    <row r="293" ht="27.75" customHeight="1" spans="1:20" x14ac:dyDescent="0.25">
      <c r="A293" s="2"/>
      <c r="B293" s="2"/>
      <c r="C293" s="7">
        <f>IF($B293="","",IFERROR(INDEX('Meetings (MOM)'!$B$2:$B$201,MATCH($B293,'Meetings (MOM)'!$A$2:$A$201,0)),""))</f>
      </c>
      <c r="D293" s="5">
        <f>IF($B293="","",IFERROR(INDEX('Meetings (MOM)'!$C$2:$C$201,MATCH($B293,'Meetings (MOM)'!$A$2:$A$201,0)),""))</f>
      </c>
      <c r="E293" s="4"/>
      <c r="F293" s="2"/>
      <c r="G293" s="2"/>
      <c r="H293" s="2"/>
      <c r="I293" s="8"/>
      <c r="J293" s="8"/>
      <c r="K293" s="8"/>
      <c r="L293" s="2"/>
      <c r="M293" s="9"/>
      <c r="N293" s="8"/>
      <c r="O293" s="10">
        <f t="shared" si="12"/>
      </c>
      <c r="P293" s="4"/>
      <c r="Q293" s="5">
        <f t="shared" si="13"/>
      </c>
      <c r="R293" s="4"/>
      <c r="S293" s="5">
        <f>IF($B293="","",$B293&amp;"-"&amp;COUNTIFS($B$2:$B293,$B293))</f>
      </c>
      <c r="T293" s="5">
        <f t="shared" si="14"/>
        <v>0</v>
      </c>
    </row>
    <row r="294" ht="27.75" customHeight="1" spans="1:20" x14ac:dyDescent="0.25">
      <c r="A294" s="2"/>
      <c r="B294" s="2"/>
      <c r="C294" s="7">
        <f>IF($B294="","",IFERROR(INDEX('Meetings (MOM)'!$B$2:$B$201,MATCH($B294,'Meetings (MOM)'!$A$2:$A$201,0)),""))</f>
      </c>
      <c r="D294" s="5">
        <f>IF($B294="","",IFERROR(INDEX('Meetings (MOM)'!$C$2:$C$201,MATCH($B294,'Meetings (MOM)'!$A$2:$A$201,0)),""))</f>
      </c>
      <c r="E294" s="4"/>
      <c r="F294" s="2"/>
      <c r="G294" s="2"/>
      <c r="H294" s="2"/>
      <c r="I294" s="8"/>
      <c r="J294" s="8"/>
      <c r="K294" s="8"/>
      <c r="L294" s="2"/>
      <c r="M294" s="9"/>
      <c r="N294" s="8"/>
      <c r="O294" s="10">
        <f t="shared" si="12"/>
      </c>
      <c r="P294" s="4"/>
      <c r="Q294" s="5">
        <f t="shared" si="13"/>
      </c>
      <c r="R294" s="4"/>
      <c r="S294" s="5">
        <f>IF($B294="","",$B294&amp;"-"&amp;COUNTIFS($B$2:$B294,$B294))</f>
      </c>
      <c r="T294" s="5">
        <f t="shared" si="14"/>
        <v>0</v>
      </c>
    </row>
    <row r="295" ht="27.75" customHeight="1" spans="1:20" x14ac:dyDescent="0.25">
      <c r="A295" s="2"/>
      <c r="B295" s="2"/>
      <c r="C295" s="7">
        <f>IF($B295="","",IFERROR(INDEX('Meetings (MOM)'!$B$2:$B$201,MATCH($B295,'Meetings (MOM)'!$A$2:$A$201,0)),""))</f>
      </c>
      <c r="D295" s="5">
        <f>IF($B295="","",IFERROR(INDEX('Meetings (MOM)'!$C$2:$C$201,MATCH($B295,'Meetings (MOM)'!$A$2:$A$201,0)),""))</f>
      </c>
      <c r="E295" s="4"/>
      <c r="F295" s="2"/>
      <c r="G295" s="2"/>
      <c r="H295" s="2"/>
      <c r="I295" s="8"/>
      <c r="J295" s="8"/>
      <c r="K295" s="8"/>
      <c r="L295" s="2"/>
      <c r="M295" s="9"/>
      <c r="N295" s="8"/>
      <c r="O295" s="10">
        <f t="shared" si="12"/>
      </c>
      <c r="P295" s="4"/>
      <c r="Q295" s="5">
        <f t="shared" si="13"/>
      </c>
      <c r="R295" s="4"/>
      <c r="S295" s="5">
        <f>IF($B295="","",$B295&amp;"-"&amp;COUNTIFS($B$2:$B295,$B295))</f>
      </c>
      <c r="T295" s="5">
        <f t="shared" si="14"/>
        <v>0</v>
      </c>
    </row>
    <row r="296" ht="27.75" customHeight="1" spans="1:20" x14ac:dyDescent="0.25">
      <c r="A296" s="2"/>
      <c r="B296" s="2"/>
      <c r="C296" s="7">
        <f>IF($B296="","",IFERROR(INDEX('Meetings (MOM)'!$B$2:$B$201,MATCH($B296,'Meetings (MOM)'!$A$2:$A$201,0)),""))</f>
      </c>
      <c r="D296" s="5">
        <f>IF($B296="","",IFERROR(INDEX('Meetings (MOM)'!$C$2:$C$201,MATCH($B296,'Meetings (MOM)'!$A$2:$A$201,0)),""))</f>
      </c>
      <c r="E296" s="4"/>
      <c r="F296" s="2"/>
      <c r="G296" s="2"/>
      <c r="H296" s="2"/>
      <c r="I296" s="8"/>
      <c r="J296" s="8"/>
      <c r="K296" s="8"/>
      <c r="L296" s="2"/>
      <c r="M296" s="9"/>
      <c r="N296" s="8"/>
      <c r="O296" s="10">
        <f t="shared" si="12"/>
      </c>
      <c r="P296" s="4"/>
      <c r="Q296" s="5">
        <f t="shared" si="13"/>
      </c>
      <c r="R296" s="4"/>
      <c r="S296" s="5">
        <f>IF($B296="","",$B296&amp;"-"&amp;COUNTIFS($B$2:$B296,$B296))</f>
      </c>
      <c r="T296" s="5">
        <f t="shared" si="14"/>
        <v>0</v>
      </c>
    </row>
    <row r="297" ht="27.75" customHeight="1" spans="1:20" x14ac:dyDescent="0.25">
      <c r="A297" s="2"/>
      <c r="B297" s="2"/>
      <c r="C297" s="7">
        <f>IF($B297="","",IFERROR(INDEX('Meetings (MOM)'!$B$2:$B$201,MATCH($B297,'Meetings (MOM)'!$A$2:$A$201,0)),""))</f>
      </c>
      <c r="D297" s="5">
        <f>IF($B297="","",IFERROR(INDEX('Meetings (MOM)'!$C$2:$C$201,MATCH($B297,'Meetings (MOM)'!$A$2:$A$201,0)),""))</f>
      </c>
      <c r="E297" s="4"/>
      <c r="F297" s="2"/>
      <c r="G297" s="2"/>
      <c r="H297" s="2"/>
      <c r="I297" s="8"/>
      <c r="J297" s="8"/>
      <c r="K297" s="8"/>
      <c r="L297" s="2"/>
      <c r="M297" s="9"/>
      <c r="N297" s="8"/>
      <c r="O297" s="10">
        <f t="shared" si="12"/>
      </c>
      <c r="P297" s="4"/>
      <c r="Q297" s="5">
        <f t="shared" si="13"/>
      </c>
      <c r="R297" s="4"/>
      <c r="S297" s="5">
        <f>IF($B297="","",$B297&amp;"-"&amp;COUNTIFS($B$2:$B297,$B297))</f>
      </c>
      <c r="T297" s="5">
        <f t="shared" si="14"/>
        <v>0</v>
      </c>
    </row>
    <row r="298" ht="27.75" customHeight="1" spans="1:20" x14ac:dyDescent="0.25">
      <c r="A298" s="2"/>
      <c r="B298" s="2"/>
      <c r="C298" s="7">
        <f>IF($B298="","",IFERROR(INDEX('Meetings (MOM)'!$B$2:$B$201,MATCH($B298,'Meetings (MOM)'!$A$2:$A$201,0)),""))</f>
      </c>
      <c r="D298" s="5">
        <f>IF($B298="","",IFERROR(INDEX('Meetings (MOM)'!$C$2:$C$201,MATCH($B298,'Meetings (MOM)'!$A$2:$A$201,0)),""))</f>
      </c>
      <c r="E298" s="4"/>
      <c r="F298" s="2"/>
      <c r="G298" s="2"/>
      <c r="H298" s="2"/>
      <c r="I298" s="8"/>
      <c r="J298" s="8"/>
      <c r="K298" s="8"/>
      <c r="L298" s="2"/>
      <c r="M298" s="9"/>
      <c r="N298" s="8"/>
      <c r="O298" s="10">
        <f t="shared" si="12"/>
      </c>
      <c r="P298" s="4"/>
      <c r="Q298" s="5">
        <f t="shared" si="13"/>
      </c>
      <c r="R298" s="4"/>
      <c r="S298" s="5">
        <f>IF($B298="","",$B298&amp;"-"&amp;COUNTIFS($B$2:$B298,$B298))</f>
      </c>
      <c r="T298" s="5">
        <f t="shared" si="14"/>
        <v>0</v>
      </c>
    </row>
    <row r="299" ht="27.75" customHeight="1" spans="1:20" x14ac:dyDescent="0.25">
      <c r="A299" s="2"/>
      <c r="B299" s="2"/>
      <c r="C299" s="7">
        <f>IF($B299="","",IFERROR(INDEX('Meetings (MOM)'!$B$2:$B$201,MATCH($B299,'Meetings (MOM)'!$A$2:$A$201,0)),""))</f>
      </c>
      <c r="D299" s="5">
        <f>IF($B299="","",IFERROR(INDEX('Meetings (MOM)'!$C$2:$C$201,MATCH($B299,'Meetings (MOM)'!$A$2:$A$201,0)),""))</f>
      </c>
      <c r="E299" s="4"/>
      <c r="F299" s="2"/>
      <c r="G299" s="2"/>
      <c r="H299" s="2"/>
      <c r="I299" s="8"/>
      <c r="J299" s="8"/>
      <c r="K299" s="8"/>
      <c r="L299" s="2"/>
      <c r="M299" s="9"/>
      <c r="N299" s="8"/>
      <c r="O299" s="10">
        <f t="shared" si="12"/>
      </c>
      <c r="P299" s="4"/>
      <c r="Q299" s="5">
        <f t="shared" si="13"/>
      </c>
      <c r="R299" s="4"/>
      <c r="S299" s="5">
        <f>IF($B299="","",$B299&amp;"-"&amp;COUNTIFS($B$2:$B299,$B299))</f>
      </c>
      <c r="T299" s="5">
        <f t="shared" si="14"/>
        <v>0</v>
      </c>
    </row>
    <row r="300" ht="27.75" customHeight="1" spans="1:20" x14ac:dyDescent="0.25">
      <c r="A300" s="2"/>
      <c r="B300" s="2"/>
      <c r="C300" s="7">
        <f>IF($B300="","",IFERROR(INDEX('Meetings (MOM)'!$B$2:$B$201,MATCH($B300,'Meetings (MOM)'!$A$2:$A$201,0)),""))</f>
      </c>
      <c r="D300" s="5">
        <f>IF($B300="","",IFERROR(INDEX('Meetings (MOM)'!$C$2:$C$201,MATCH($B300,'Meetings (MOM)'!$A$2:$A$201,0)),""))</f>
      </c>
      <c r="E300" s="4"/>
      <c r="F300" s="2"/>
      <c r="G300" s="2"/>
      <c r="H300" s="2"/>
      <c r="I300" s="8"/>
      <c r="J300" s="8"/>
      <c r="K300" s="8"/>
      <c r="L300" s="2"/>
      <c r="M300" s="9"/>
      <c r="N300" s="8"/>
      <c r="O300" s="10">
        <f t="shared" si="12"/>
      </c>
      <c r="P300" s="4"/>
      <c r="Q300" s="5">
        <f t="shared" si="13"/>
      </c>
      <c r="R300" s="4"/>
      <c r="S300" s="5">
        <f>IF($B300="","",$B300&amp;"-"&amp;COUNTIFS($B$2:$B300,$B300))</f>
      </c>
      <c r="T300" s="5">
        <f t="shared" si="14"/>
        <v>0</v>
      </c>
    </row>
    <row r="301" ht="27.75" customHeight="1" spans="1:20" x14ac:dyDescent="0.25">
      <c r="A301" s="2"/>
      <c r="B301" s="2"/>
      <c r="C301" s="7">
        <f>IF($B301="","",IFERROR(INDEX('Meetings (MOM)'!$B$2:$B$201,MATCH($B301,'Meetings (MOM)'!$A$2:$A$201,0)),""))</f>
      </c>
      <c r="D301" s="5">
        <f>IF($B301="","",IFERROR(INDEX('Meetings (MOM)'!$C$2:$C$201,MATCH($B301,'Meetings (MOM)'!$A$2:$A$201,0)),""))</f>
      </c>
      <c r="E301" s="4"/>
      <c r="F301" s="2"/>
      <c r="G301" s="2"/>
      <c r="H301" s="2"/>
      <c r="I301" s="8"/>
      <c r="J301" s="8"/>
      <c r="K301" s="8"/>
      <c r="L301" s="2"/>
      <c r="M301" s="9"/>
      <c r="N301" s="8"/>
      <c r="O301" s="10">
        <f t="shared" si="12"/>
      </c>
      <c r="P301" s="4"/>
      <c r="Q301" s="5">
        <f t="shared" si="13"/>
      </c>
      <c r="R301" s="4"/>
      <c r="S301" s="5">
        <f>IF($B301="","",$B301&amp;"-"&amp;COUNTIFS($B$2:$B301,$B301))</f>
      </c>
      <c r="T301" s="5">
        <f t="shared" si="14"/>
        <v>0</v>
      </c>
    </row>
    <row r="302" ht="27.75" customHeight="1" spans="1:20" x14ac:dyDescent="0.25">
      <c r="A302" s="2"/>
      <c r="B302" s="2"/>
      <c r="C302" s="7">
        <f>IF($B302="","",IFERROR(INDEX('Meetings (MOM)'!$B$2:$B$201,MATCH($B302,'Meetings (MOM)'!$A$2:$A$201,0)),""))</f>
      </c>
      <c r="D302" s="5">
        <f>IF($B302="","",IFERROR(INDEX('Meetings (MOM)'!$C$2:$C$201,MATCH($B302,'Meetings (MOM)'!$A$2:$A$201,0)),""))</f>
      </c>
      <c r="E302" s="4"/>
      <c r="F302" s="2"/>
      <c r="G302" s="2"/>
      <c r="H302" s="2"/>
      <c r="I302" s="8"/>
      <c r="J302" s="8"/>
      <c r="K302" s="8"/>
      <c r="L302" s="2"/>
      <c r="M302" s="9"/>
      <c r="N302" s="8"/>
      <c r="O302" s="10">
        <f t="shared" si="12"/>
      </c>
      <c r="P302" s="4"/>
      <c r="Q302" s="5">
        <f t="shared" si="13"/>
      </c>
      <c r="R302" s="4"/>
      <c r="S302" s="5">
        <f>IF($B302="","",$B302&amp;"-"&amp;COUNTIFS($B$2:$B302,$B302))</f>
      </c>
      <c r="T302" s="5">
        <f t="shared" si="14"/>
        <v>0</v>
      </c>
    </row>
    <row r="303" ht="27.75" customHeight="1" spans="1:20" x14ac:dyDescent="0.25">
      <c r="A303" s="2"/>
      <c r="B303" s="2"/>
      <c r="C303" s="7">
        <f>IF($B303="","",IFERROR(INDEX('Meetings (MOM)'!$B$2:$B$201,MATCH($B303,'Meetings (MOM)'!$A$2:$A$201,0)),""))</f>
      </c>
      <c r="D303" s="5">
        <f>IF($B303="","",IFERROR(INDEX('Meetings (MOM)'!$C$2:$C$201,MATCH($B303,'Meetings (MOM)'!$A$2:$A$201,0)),""))</f>
      </c>
      <c r="E303" s="4"/>
      <c r="F303" s="2"/>
      <c r="G303" s="2"/>
      <c r="H303" s="2"/>
      <c r="I303" s="8"/>
      <c r="J303" s="8"/>
      <c r="K303" s="8"/>
      <c r="L303" s="2"/>
      <c r="M303" s="9"/>
      <c r="N303" s="8"/>
      <c r="O303" s="10">
        <f t="shared" si="12"/>
      </c>
      <c r="P303" s="4"/>
      <c r="Q303" s="5">
        <f t="shared" si="13"/>
      </c>
      <c r="R303" s="4"/>
      <c r="S303" s="5">
        <f>IF($B303="","",$B303&amp;"-"&amp;COUNTIFS($B$2:$B303,$B303))</f>
      </c>
      <c r="T303" s="5">
        <f t="shared" si="14"/>
        <v>0</v>
      </c>
    </row>
    <row r="304" ht="27.75" customHeight="1" spans="1:20" x14ac:dyDescent="0.25">
      <c r="A304" s="2"/>
      <c r="B304" s="2"/>
      <c r="C304" s="7">
        <f>IF($B304="","",IFERROR(INDEX('Meetings (MOM)'!$B$2:$B$201,MATCH($B304,'Meetings (MOM)'!$A$2:$A$201,0)),""))</f>
      </c>
      <c r="D304" s="5">
        <f>IF($B304="","",IFERROR(INDEX('Meetings (MOM)'!$C$2:$C$201,MATCH($B304,'Meetings (MOM)'!$A$2:$A$201,0)),""))</f>
      </c>
      <c r="E304" s="4"/>
      <c r="F304" s="2"/>
      <c r="G304" s="2"/>
      <c r="H304" s="2"/>
      <c r="I304" s="8"/>
      <c r="J304" s="8"/>
      <c r="K304" s="8"/>
      <c r="L304" s="2"/>
      <c r="M304" s="9"/>
      <c r="N304" s="8"/>
      <c r="O304" s="10">
        <f t="shared" si="12"/>
      </c>
      <c r="P304" s="4"/>
      <c r="Q304" s="5">
        <f t="shared" si="13"/>
      </c>
      <c r="R304" s="4"/>
      <c r="S304" s="5">
        <f>IF($B304="","",$B304&amp;"-"&amp;COUNTIFS($B$2:$B304,$B304))</f>
      </c>
      <c r="T304" s="5">
        <f t="shared" si="14"/>
        <v>0</v>
      </c>
    </row>
    <row r="305" ht="27.75" customHeight="1" spans="1:20" x14ac:dyDescent="0.25">
      <c r="A305" s="2"/>
      <c r="B305" s="2"/>
      <c r="C305" s="7">
        <f>IF($B305="","",IFERROR(INDEX('Meetings (MOM)'!$B$2:$B$201,MATCH($B305,'Meetings (MOM)'!$A$2:$A$201,0)),""))</f>
      </c>
      <c r="D305" s="5">
        <f>IF($B305="","",IFERROR(INDEX('Meetings (MOM)'!$C$2:$C$201,MATCH($B305,'Meetings (MOM)'!$A$2:$A$201,0)),""))</f>
      </c>
      <c r="E305" s="4"/>
      <c r="F305" s="2"/>
      <c r="G305" s="2"/>
      <c r="H305" s="2"/>
      <c r="I305" s="8"/>
      <c r="J305" s="8"/>
      <c r="K305" s="8"/>
      <c r="L305" s="2"/>
      <c r="M305" s="9"/>
      <c r="N305" s="8"/>
      <c r="O305" s="10">
        <f t="shared" si="12"/>
      </c>
      <c r="P305" s="4"/>
      <c r="Q305" s="5">
        <f t="shared" si="13"/>
      </c>
      <c r="R305" s="4"/>
      <c r="S305" s="5">
        <f>IF($B305="","",$B305&amp;"-"&amp;COUNTIFS($B$2:$B305,$B305))</f>
      </c>
      <c r="T305" s="5">
        <f t="shared" si="14"/>
        <v>0</v>
      </c>
    </row>
    <row r="306" ht="27.75" customHeight="1" spans="1:20" x14ac:dyDescent="0.25">
      <c r="A306" s="2"/>
      <c r="B306" s="2"/>
      <c r="C306" s="7">
        <f>IF($B306="","",IFERROR(INDEX('Meetings (MOM)'!$B$2:$B$201,MATCH($B306,'Meetings (MOM)'!$A$2:$A$201,0)),""))</f>
      </c>
      <c r="D306" s="5">
        <f>IF($B306="","",IFERROR(INDEX('Meetings (MOM)'!$C$2:$C$201,MATCH($B306,'Meetings (MOM)'!$A$2:$A$201,0)),""))</f>
      </c>
      <c r="E306" s="4"/>
      <c r="F306" s="2"/>
      <c r="G306" s="2"/>
      <c r="H306" s="2"/>
      <c r="I306" s="8"/>
      <c r="J306" s="8"/>
      <c r="K306" s="8"/>
      <c r="L306" s="2"/>
      <c r="M306" s="9"/>
      <c r="N306" s="8"/>
      <c r="O306" s="10">
        <f t="shared" si="12"/>
      </c>
      <c r="P306" s="4"/>
      <c r="Q306" s="5">
        <f t="shared" si="13"/>
      </c>
      <c r="R306" s="4"/>
      <c r="S306" s="5">
        <f>IF($B306="","",$B306&amp;"-"&amp;COUNTIFS($B$2:$B306,$B306))</f>
      </c>
      <c r="T306" s="5">
        <f t="shared" si="14"/>
        <v>0</v>
      </c>
    </row>
    <row r="307" ht="27.75" customHeight="1" spans="1:20" x14ac:dyDescent="0.25">
      <c r="A307" s="2"/>
      <c r="B307" s="2"/>
      <c r="C307" s="7">
        <f>IF($B307="","",IFERROR(INDEX('Meetings (MOM)'!$B$2:$B$201,MATCH($B307,'Meetings (MOM)'!$A$2:$A$201,0)),""))</f>
      </c>
      <c r="D307" s="5">
        <f>IF($B307="","",IFERROR(INDEX('Meetings (MOM)'!$C$2:$C$201,MATCH($B307,'Meetings (MOM)'!$A$2:$A$201,0)),""))</f>
      </c>
      <c r="E307" s="4"/>
      <c r="F307" s="2"/>
      <c r="G307" s="2"/>
      <c r="H307" s="2"/>
      <c r="I307" s="8"/>
      <c r="J307" s="8"/>
      <c r="K307" s="8"/>
      <c r="L307" s="2"/>
      <c r="M307" s="9"/>
      <c r="N307" s="8"/>
      <c r="O307" s="10">
        <f t="shared" si="12"/>
      </c>
      <c r="P307" s="4"/>
      <c r="Q307" s="5">
        <f t="shared" si="13"/>
      </c>
      <c r="R307" s="4"/>
      <c r="S307" s="5">
        <f>IF($B307="","",$B307&amp;"-"&amp;COUNTIFS($B$2:$B307,$B307))</f>
      </c>
      <c r="T307" s="5">
        <f t="shared" si="14"/>
        <v>0</v>
      </c>
    </row>
    <row r="308" ht="27.75" customHeight="1" spans="1:20" x14ac:dyDescent="0.25">
      <c r="A308" s="2"/>
      <c r="B308" s="2"/>
      <c r="C308" s="7">
        <f>IF($B308="","",IFERROR(INDEX('Meetings (MOM)'!$B$2:$B$201,MATCH($B308,'Meetings (MOM)'!$A$2:$A$201,0)),""))</f>
      </c>
      <c r="D308" s="5">
        <f>IF($B308="","",IFERROR(INDEX('Meetings (MOM)'!$C$2:$C$201,MATCH($B308,'Meetings (MOM)'!$A$2:$A$201,0)),""))</f>
      </c>
      <c r="E308" s="4"/>
      <c r="F308" s="2"/>
      <c r="G308" s="2"/>
      <c r="H308" s="2"/>
      <c r="I308" s="8"/>
      <c r="J308" s="8"/>
      <c r="K308" s="8"/>
      <c r="L308" s="2"/>
      <c r="M308" s="9"/>
      <c r="N308" s="8"/>
      <c r="O308" s="10">
        <f t="shared" si="12"/>
      </c>
      <c r="P308" s="4"/>
      <c r="Q308" s="5">
        <f t="shared" si="13"/>
      </c>
      <c r="R308" s="4"/>
      <c r="S308" s="5">
        <f>IF($B308="","",$B308&amp;"-"&amp;COUNTIFS($B$2:$B308,$B308))</f>
      </c>
      <c r="T308" s="5">
        <f t="shared" si="14"/>
        <v>0</v>
      </c>
    </row>
    <row r="309" ht="27.75" customHeight="1" spans="1:20" x14ac:dyDescent="0.25">
      <c r="A309" s="2"/>
      <c r="B309" s="2"/>
      <c r="C309" s="7">
        <f>IF($B309="","",IFERROR(INDEX('Meetings (MOM)'!$B$2:$B$201,MATCH($B309,'Meetings (MOM)'!$A$2:$A$201,0)),""))</f>
      </c>
      <c r="D309" s="5">
        <f>IF($B309="","",IFERROR(INDEX('Meetings (MOM)'!$C$2:$C$201,MATCH($B309,'Meetings (MOM)'!$A$2:$A$201,0)),""))</f>
      </c>
      <c r="E309" s="4"/>
      <c r="F309" s="2"/>
      <c r="G309" s="2"/>
      <c r="H309" s="2"/>
      <c r="I309" s="8"/>
      <c r="J309" s="8"/>
      <c r="K309" s="8"/>
      <c r="L309" s="2"/>
      <c r="M309" s="9"/>
      <c r="N309" s="8"/>
      <c r="O309" s="10">
        <f t="shared" si="12"/>
      </c>
      <c r="P309" s="4"/>
      <c r="Q309" s="5">
        <f t="shared" si="13"/>
      </c>
      <c r="R309" s="4"/>
      <c r="S309" s="5">
        <f>IF($B309="","",$B309&amp;"-"&amp;COUNTIFS($B$2:$B309,$B309))</f>
      </c>
      <c r="T309" s="5">
        <f t="shared" si="14"/>
        <v>0</v>
      </c>
    </row>
    <row r="310" ht="27.75" customHeight="1" spans="1:20" x14ac:dyDescent="0.25">
      <c r="A310" s="2"/>
      <c r="B310" s="2"/>
      <c r="C310" s="7">
        <f>IF($B310="","",IFERROR(INDEX('Meetings (MOM)'!$B$2:$B$201,MATCH($B310,'Meetings (MOM)'!$A$2:$A$201,0)),""))</f>
      </c>
      <c r="D310" s="5">
        <f>IF($B310="","",IFERROR(INDEX('Meetings (MOM)'!$C$2:$C$201,MATCH($B310,'Meetings (MOM)'!$A$2:$A$201,0)),""))</f>
      </c>
      <c r="E310" s="4"/>
      <c r="F310" s="2"/>
      <c r="G310" s="2"/>
      <c r="H310" s="2"/>
      <c r="I310" s="8"/>
      <c r="J310" s="8"/>
      <c r="K310" s="8"/>
      <c r="L310" s="2"/>
      <c r="M310" s="9"/>
      <c r="N310" s="8"/>
      <c r="O310" s="10">
        <f t="shared" si="12"/>
      </c>
      <c r="P310" s="4"/>
      <c r="Q310" s="5">
        <f t="shared" si="13"/>
      </c>
      <c r="R310" s="4"/>
      <c r="S310" s="5">
        <f>IF($B310="","",$B310&amp;"-"&amp;COUNTIFS($B$2:$B310,$B310))</f>
      </c>
      <c r="T310" s="5">
        <f t="shared" si="14"/>
        <v>0</v>
      </c>
    </row>
    <row r="311" ht="27.75" customHeight="1" spans="1:20" x14ac:dyDescent="0.25">
      <c r="A311" s="2"/>
      <c r="B311" s="2"/>
      <c r="C311" s="7">
        <f>IF($B311="","",IFERROR(INDEX('Meetings (MOM)'!$B$2:$B$201,MATCH($B311,'Meetings (MOM)'!$A$2:$A$201,0)),""))</f>
      </c>
      <c r="D311" s="5">
        <f>IF($B311="","",IFERROR(INDEX('Meetings (MOM)'!$C$2:$C$201,MATCH($B311,'Meetings (MOM)'!$A$2:$A$201,0)),""))</f>
      </c>
      <c r="E311" s="4"/>
      <c r="F311" s="2"/>
      <c r="G311" s="2"/>
      <c r="H311" s="2"/>
      <c r="I311" s="8"/>
      <c r="J311" s="8"/>
      <c r="K311" s="8"/>
      <c r="L311" s="2"/>
      <c r="M311" s="9"/>
      <c r="N311" s="8"/>
      <c r="O311" s="10">
        <f t="shared" si="12"/>
      </c>
      <c r="P311" s="4"/>
      <c r="Q311" s="5">
        <f t="shared" si="13"/>
      </c>
      <c r="R311" s="4"/>
      <c r="S311" s="5">
        <f>IF($B311="","",$B311&amp;"-"&amp;COUNTIFS($B$2:$B311,$B311))</f>
      </c>
      <c r="T311" s="5">
        <f t="shared" si="14"/>
        <v>0</v>
      </c>
    </row>
    <row r="312" ht="27.75" customHeight="1" spans="1:20" x14ac:dyDescent="0.25">
      <c r="A312" s="2"/>
      <c r="B312" s="2"/>
      <c r="C312" s="7">
        <f>IF($B312="","",IFERROR(INDEX('Meetings (MOM)'!$B$2:$B$201,MATCH($B312,'Meetings (MOM)'!$A$2:$A$201,0)),""))</f>
      </c>
      <c r="D312" s="5">
        <f>IF($B312="","",IFERROR(INDEX('Meetings (MOM)'!$C$2:$C$201,MATCH($B312,'Meetings (MOM)'!$A$2:$A$201,0)),""))</f>
      </c>
      <c r="E312" s="4"/>
      <c r="F312" s="2"/>
      <c r="G312" s="2"/>
      <c r="H312" s="2"/>
      <c r="I312" s="8"/>
      <c r="J312" s="8"/>
      <c r="K312" s="8"/>
      <c r="L312" s="2"/>
      <c r="M312" s="9"/>
      <c r="N312" s="8"/>
      <c r="O312" s="10">
        <f t="shared" si="12"/>
      </c>
      <c r="P312" s="4"/>
      <c r="Q312" s="5">
        <f t="shared" si="13"/>
      </c>
      <c r="R312" s="4"/>
      <c r="S312" s="5">
        <f>IF($B312="","",$B312&amp;"-"&amp;COUNTIFS($B$2:$B312,$B312))</f>
      </c>
      <c r="T312" s="5">
        <f t="shared" si="14"/>
        <v>0</v>
      </c>
    </row>
    <row r="313" ht="27.75" customHeight="1" spans="1:20" x14ac:dyDescent="0.25">
      <c r="A313" s="2"/>
      <c r="B313" s="2"/>
      <c r="C313" s="7">
        <f>IF($B313="","",IFERROR(INDEX('Meetings (MOM)'!$B$2:$B$201,MATCH($B313,'Meetings (MOM)'!$A$2:$A$201,0)),""))</f>
      </c>
      <c r="D313" s="5">
        <f>IF($B313="","",IFERROR(INDEX('Meetings (MOM)'!$C$2:$C$201,MATCH($B313,'Meetings (MOM)'!$A$2:$A$201,0)),""))</f>
      </c>
      <c r="E313" s="4"/>
      <c r="F313" s="2"/>
      <c r="G313" s="2"/>
      <c r="H313" s="2"/>
      <c r="I313" s="8"/>
      <c r="J313" s="8"/>
      <c r="K313" s="8"/>
      <c r="L313" s="2"/>
      <c r="M313" s="9"/>
      <c r="N313" s="8"/>
      <c r="O313" s="10">
        <f t="shared" si="12"/>
      </c>
      <c r="P313" s="4"/>
      <c r="Q313" s="5">
        <f t="shared" si="13"/>
      </c>
      <c r="R313" s="4"/>
      <c r="S313" s="5">
        <f>IF($B313="","",$B313&amp;"-"&amp;COUNTIFS($B$2:$B313,$B313))</f>
      </c>
      <c r="T313" s="5">
        <f t="shared" si="14"/>
        <v>0</v>
      </c>
    </row>
    <row r="314" ht="27.75" customHeight="1" spans="1:20" x14ac:dyDescent="0.25">
      <c r="A314" s="2"/>
      <c r="B314" s="2"/>
      <c r="C314" s="7">
        <f>IF($B314="","",IFERROR(INDEX('Meetings (MOM)'!$B$2:$B$201,MATCH($B314,'Meetings (MOM)'!$A$2:$A$201,0)),""))</f>
      </c>
      <c r="D314" s="5">
        <f>IF($B314="","",IFERROR(INDEX('Meetings (MOM)'!$C$2:$C$201,MATCH($B314,'Meetings (MOM)'!$A$2:$A$201,0)),""))</f>
      </c>
      <c r="E314" s="4"/>
      <c r="F314" s="2"/>
      <c r="G314" s="2"/>
      <c r="H314" s="2"/>
      <c r="I314" s="8"/>
      <c r="J314" s="8"/>
      <c r="K314" s="8"/>
      <c r="L314" s="2"/>
      <c r="M314" s="9"/>
      <c r="N314" s="8"/>
      <c r="O314" s="10">
        <f t="shared" si="12"/>
      </c>
      <c r="P314" s="4"/>
      <c r="Q314" s="5">
        <f t="shared" si="13"/>
      </c>
      <c r="R314" s="4"/>
      <c r="S314" s="5">
        <f>IF($B314="","",$B314&amp;"-"&amp;COUNTIFS($B$2:$B314,$B314))</f>
      </c>
      <c r="T314" s="5">
        <f t="shared" si="14"/>
        <v>0</v>
      </c>
    </row>
    <row r="315" ht="27.75" customHeight="1" spans="1:20" x14ac:dyDescent="0.25">
      <c r="A315" s="2"/>
      <c r="B315" s="2"/>
      <c r="C315" s="7">
        <f>IF($B315="","",IFERROR(INDEX('Meetings (MOM)'!$B$2:$B$201,MATCH($B315,'Meetings (MOM)'!$A$2:$A$201,0)),""))</f>
      </c>
      <c r="D315" s="5">
        <f>IF($B315="","",IFERROR(INDEX('Meetings (MOM)'!$C$2:$C$201,MATCH($B315,'Meetings (MOM)'!$A$2:$A$201,0)),""))</f>
      </c>
      <c r="E315" s="4"/>
      <c r="F315" s="2"/>
      <c r="G315" s="2"/>
      <c r="H315" s="2"/>
      <c r="I315" s="8"/>
      <c r="J315" s="8"/>
      <c r="K315" s="8"/>
      <c r="L315" s="2"/>
      <c r="M315" s="9"/>
      <c r="N315" s="8"/>
      <c r="O315" s="10">
        <f t="shared" si="12"/>
      </c>
      <c r="P315" s="4"/>
      <c r="Q315" s="5">
        <f t="shared" si="13"/>
      </c>
      <c r="R315" s="4"/>
      <c r="S315" s="5">
        <f>IF($B315="","",$B315&amp;"-"&amp;COUNTIFS($B$2:$B315,$B315))</f>
      </c>
      <c r="T315" s="5">
        <f t="shared" si="14"/>
        <v>0</v>
      </c>
    </row>
    <row r="316" ht="27.75" customHeight="1" spans="1:20" x14ac:dyDescent="0.25">
      <c r="A316" s="2"/>
      <c r="B316" s="2"/>
      <c r="C316" s="7">
        <f>IF($B316="","",IFERROR(INDEX('Meetings (MOM)'!$B$2:$B$201,MATCH($B316,'Meetings (MOM)'!$A$2:$A$201,0)),""))</f>
      </c>
      <c r="D316" s="5">
        <f>IF($B316="","",IFERROR(INDEX('Meetings (MOM)'!$C$2:$C$201,MATCH($B316,'Meetings (MOM)'!$A$2:$A$201,0)),""))</f>
      </c>
      <c r="E316" s="4"/>
      <c r="F316" s="2"/>
      <c r="G316" s="2"/>
      <c r="H316" s="2"/>
      <c r="I316" s="8"/>
      <c r="J316" s="8"/>
      <c r="K316" s="8"/>
      <c r="L316" s="2"/>
      <c r="M316" s="9"/>
      <c r="N316" s="8"/>
      <c r="O316" s="10">
        <f t="shared" si="12"/>
      </c>
      <c r="P316" s="4"/>
      <c r="Q316" s="5">
        <f t="shared" si="13"/>
      </c>
      <c r="R316" s="4"/>
      <c r="S316" s="5">
        <f>IF($B316="","",$B316&amp;"-"&amp;COUNTIFS($B$2:$B316,$B316))</f>
      </c>
      <c r="T316" s="5">
        <f t="shared" si="14"/>
        <v>0</v>
      </c>
    </row>
    <row r="317" ht="27.75" customHeight="1" spans="1:20" x14ac:dyDescent="0.25">
      <c r="A317" s="2"/>
      <c r="B317" s="2"/>
      <c r="C317" s="7">
        <f>IF($B317="","",IFERROR(INDEX('Meetings (MOM)'!$B$2:$B$201,MATCH($B317,'Meetings (MOM)'!$A$2:$A$201,0)),""))</f>
      </c>
      <c r="D317" s="5">
        <f>IF($B317="","",IFERROR(INDEX('Meetings (MOM)'!$C$2:$C$201,MATCH($B317,'Meetings (MOM)'!$A$2:$A$201,0)),""))</f>
      </c>
      <c r="E317" s="4"/>
      <c r="F317" s="2"/>
      <c r="G317" s="2"/>
      <c r="H317" s="2"/>
      <c r="I317" s="8"/>
      <c r="J317" s="8"/>
      <c r="K317" s="8"/>
      <c r="L317" s="2"/>
      <c r="M317" s="9"/>
      <c r="N317" s="8"/>
      <c r="O317" s="10">
        <f t="shared" si="12"/>
      </c>
      <c r="P317" s="4"/>
      <c r="Q317" s="5">
        <f t="shared" si="13"/>
      </c>
      <c r="R317" s="4"/>
      <c r="S317" s="5">
        <f>IF($B317="","",$B317&amp;"-"&amp;COUNTIFS($B$2:$B317,$B317))</f>
      </c>
      <c r="T317" s="5">
        <f t="shared" si="14"/>
        <v>0</v>
      </c>
    </row>
    <row r="318" ht="27.75" customHeight="1" spans="1:20" x14ac:dyDescent="0.25">
      <c r="A318" s="2"/>
      <c r="B318" s="2"/>
      <c r="C318" s="7">
        <f>IF($B318="","",IFERROR(INDEX('Meetings (MOM)'!$B$2:$B$201,MATCH($B318,'Meetings (MOM)'!$A$2:$A$201,0)),""))</f>
      </c>
      <c r="D318" s="5">
        <f>IF($B318="","",IFERROR(INDEX('Meetings (MOM)'!$C$2:$C$201,MATCH($B318,'Meetings (MOM)'!$A$2:$A$201,0)),""))</f>
      </c>
      <c r="E318" s="4"/>
      <c r="F318" s="2"/>
      <c r="G318" s="2"/>
      <c r="H318" s="2"/>
      <c r="I318" s="8"/>
      <c r="J318" s="8"/>
      <c r="K318" s="8"/>
      <c r="L318" s="2"/>
      <c r="M318" s="9"/>
      <c r="N318" s="8"/>
      <c r="O318" s="10">
        <f t="shared" si="12"/>
      </c>
      <c r="P318" s="4"/>
      <c r="Q318" s="5">
        <f t="shared" si="13"/>
      </c>
      <c r="R318" s="4"/>
      <c r="S318" s="5">
        <f>IF($B318="","",$B318&amp;"-"&amp;COUNTIFS($B$2:$B318,$B318))</f>
      </c>
      <c r="T318" s="5">
        <f t="shared" si="14"/>
        <v>0</v>
      </c>
    </row>
    <row r="319" ht="27.75" customHeight="1" spans="1:20" x14ac:dyDescent="0.25">
      <c r="A319" s="2"/>
      <c r="B319" s="2"/>
      <c r="C319" s="7">
        <f>IF($B319="","",IFERROR(INDEX('Meetings (MOM)'!$B$2:$B$201,MATCH($B319,'Meetings (MOM)'!$A$2:$A$201,0)),""))</f>
      </c>
      <c r="D319" s="5">
        <f>IF($B319="","",IFERROR(INDEX('Meetings (MOM)'!$C$2:$C$201,MATCH($B319,'Meetings (MOM)'!$A$2:$A$201,0)),""))</f>
      </c>
      <c r="E319" s="4"/>
      <c r="F319" s="2"/>
      <c r="G319" s="2"/>
      <c r="H319" s="2"/>
      <c r="I319" s="8"/>
      <c r="J319" s="8"/>
      <c r="K319" s="8"/>
      <c r="L319" s="2"/>
      <c r="M319" s="9"/>
      <c r="N319" s="8"/>
      <c r="O319" s="10">
        <f t="shared" si="12"/>
      </c>
      <c r="P319" s="4"/>
      <c r="Q319" s="5">
        <f t="shared" si="13"/>
      </c>
      <c r="R319" s="4"/>
      <c r="S319" s="5">
        <f>IF($B319="","",$B319&amp;"-"&amp;COUNTIFS($B$2:$B319,$B319))</f>
      </c>
      <c r="T319" s="5">
        <f t="shared" si="14"/>
        <v>0</v>
      </c>
    </row>
    <row r="320" ht="27.75" customHeight="1" spans="1:20" x14ac:dyDescent="0.25">
      <c r="A320" s="2"/>
      <c r="B320" s="2"/>
      <c r="C320" s="7">
        <f>IF($B320="","",IFERROR(INDEX('Meetings (MOM)'!$B$2:$B$201,MATCH($B320,'Meetings (MOM)'!$A$2:$A$201,0)),""))</f>
      </c>
      <c r="D320" s="5">
        <f>IF($B320="","",IFERROR(INDEX('Meetings (MOM)'!$C$2:$C$201,MATCH($B320,'Meetings (MOM)'!$A$2:$A$201,0)),""))</f>
      </c>
      <c r="E320" s="4"/>
      <c r="F320" s="2"/>
      <c r="G320" s="2"/>
      <c r="H320" s="2"/>
      <c r="I320" s="8"/>
      <c r="J320" s="8"/>
      <c r="K320" s="8"/>
      <c r="L320" s="2"/>
      <c r="M320" s="9"/>
      <c r="N320" s="8"/>
      <c r="O320" s="10">
        <f t="shared" si="12"/>
      </c>
      <c r="P320" s="4"/>
      <c r="Q320" s="5">
        <f t="shared" si="13"/>
      </c>
      <c r="R320" s="4"/>
      <c r="S320" s="5">
        <f>IF($B320="","",$B320&amp;"-"&amp;COUNTIFS($B$2:$B320,$B320))</f>
      </c>
      <c r="T320" s="5">
        <f t="shared" si="14"/>
        <v>0</v>
      </c>
    </row>
    <row r="321" ht="27.75" customHeight="1" spans="1:20" x14ac:dyDescent="0.25">
      <c r="A321" s="2"/>
      <c r="B321" s="2"/>
      <c r="C321" s="7">
        <f>IF($B321="","",IFERROR(INDEX('Meetings (MOM)'!$B$2:$B$201,MATCH($B321,'Meetings (MOM)'!$A$2:$A$201,0)),""))</f>
      </c>
      <c r="D321" s="5">
        <f>IF($B321="","",IFERROR(INDEX('Meetings (MOM)'!$C$2:$C$201,MATCH($B321,'Meetings (MOM)'!$A$2:$A$201,0)),""))</f>
      </c>
      <c r="E321" s="4"/>
      <c r="F321" s="2"/>
      <c r="G321" s="2"/>
      <c r="H321" s="2"/>
      <c r="I321" s="8"/>
      <c r="J321" s="8"/>
      <c r="K321" s="8"/>
      <c r="L321" s="2"/>
      <c r="M321" s="9"/>
      <c r="N321" s="8"/>
      <c r="O321" s="10">
        <f t="shared" si="12"/>
      </c>
      <c r="P321" s="4"/>
      <c r="Q321" s="5">
        <f t="shared" si="13"/>
      </c>
      <c r="R321" s="4"/>
      <c r="S321" s="5">
        <f>IF($B321="","",$B321&amp;"-"&amp;COUNTIFS($B$2:$B321,$B321))</f>
      </c>
      <c r="T321" s="5">
        <f t="shared" si="14"/>
        <v>0</v>
      </c>
    </row>
    <row r="322" ht="27.75" customHeight="1" spans="1:20" x14ac:dyDescent="0.25">
      <c r="A322" s="2"/>
      <c r="B322" s="2"/>
      <c r="C322" s="7">
        <f>IF($B322="","",IFERROR(INDEX('Meetings (MOM)'!$B$2:$B$201,MATCH($B322,'Meetings (MOM)'!$A$2:$A$201,0)),""))</f>
      </c>
      <c r="D322" s="5">
        <f>IF($B322="","",IFERROR(INDEX('Meetings (MOM)'!$C$2:$C$201,MATCH($B322,'Meetings (MOM)'!$A$2:$A$201,0)),""))</f>
      </c>
      <c r="E322" s="4"/>
      <c r="F322" s="2"/>
      <c r="G322" s="2"/>
      <c r="H322" s="2"/>
      <c r="I322" s="8"/>
      <c r="J322" s="8"/>
      <c r="K322" s="8"/>
      <c r="L322" s="2"/>
      <c r="M322" s="9"/>
      <c r="N322" s="8"/>
      <c r="O322" s="10">
        <f t="shared" ref="O322:O385" si="15">IF(OR($A322="",IF($K322="",$J322,$K322)=""),"",IF($L322="Completed",IF($N322="","",$N322-IF($K322="",$J322,$K322)),IF($L322="Cancelled","",TODAY()-IF($K322="",$J322,$K322))))</f>
      </c>
      <c r="P322" s="4"/>
      <c r="Q322" s="5">
        <f t="shared" ref="Q322:Q385" si="16">IF($A322="","",IF(OR($L322="Completed",$L322="Cancelled"),"Closed",IF(IF($K322="",$J322,$K322)="","Set deadline",IF(TODAY()&gt;IF($K322="",$J322,$K322),"OVERDUE - Escalate",IF(IF($K322="",$J322,$K322)-TODAY()&lt;=3,"Send Reminder","On Track")))))</f>
      </c>
      <c r="R322" s="4"/>
      <c r="S322" s="5">
        <f>IF($B322="","",$B322&amp;"-"&amp;COUNTIFS($B$2:$B322,$B322))</f>
      </c>
      <c r="T322" s="5">
        <f t="shared" ref="T322:T385" si="17">IF($A322="",0,IF(OR($L322="Completed",$L322="Cancelled"),0,IF(IF($K322="",$J322,$K322)="",0,IF(TODAY()&gt;IF($K322="",$J322,$K322),1,0))))</f>
        <v>0</v>
      </c>
    </row>
    <row r="323" ht="27.75" customHeight="1" spans="1:20" x14ac:dyDescent="0.25">
      <c r="A323" s="2"/>
      <c r="B323" s="2"/>
      <c r="C323" s="7">
        <f>IF($B323="","",IFERROR(INDEX('Meetings (MOM)'!$B$2:$B$201,MATCH($B323,'Meetings (MOM)'!$A$2:$A$201,0)),""))</f>
      </c>
      <c r="D323" s="5">
        <f>IF($B323="","",IFERROR(INDEX('Meetings (MOM)'!$C$2:$C$201,MATCH($B323,'Meetings (MOM)'!$A$2:$A$201,0)),""))</f>
      </c>
      <c r="E323" s="4"/>
      <c r="F323" s="2"/>
      <c r="G323" s="2"/>
      <c r="H323" s="2"/>
      <c r="I323" s="8"/>
      <c r="J323" s="8"/>
      <c r="K323" s="8"/>
      <c r="L323" s="2"/>
      <c r="M323" s="9"/>
      <c r="N323" s="8"/>
      <c r="O323" s="10">
        <f t="shared" si="15"/>
      </c>
      <c r="P323" s="4"/>
      <c r="Q323" s="5">
        <f t="shared" si="16"/>
      </c>
      <c r="R323" s="4"/>
      <c r="S323" s="5">
        <f>IF($B323="","",$B323&amp;"-"&amp;COUNTIFS($B$2:$B323,$B323))</f>
      </c>
      <c r="T323" s="5">
        <f t="shared" si="17"/>
        <v>0</v>
      </c>
    </row>
    <row r="324" ht="27.75" customHeight="1" spans="1:20" x14ac:dyDescent="0.25">
      <c r="A324" s="2"/>
      <c r="B324" s="2"/>
      <c r="C324" s="7">
        <f>IF($B324="","",IFERROR(INDEX('Meetings (MOM)'!$B$2:$B$201,MATCH($B324,'Meetings (MOM)'!$A$2:$A$201,0)),""))</f>
      </c>
      <c r="D324" s="5">
        <f>IF($B324="","",IFERROR(INDEX('Meetings (MOM)'!$C$2:$C$201,MATCH($B324,'Meetings (MOM)'!$A$2:$A$201,0)),""))</f>
      </c>
      <c r="E324" s="4"/>
      <c r="F324" s="2"/>
      <c r="G324" s="2"/>
      <c r="H324" s="2"/>
      <c r="I324" s="8"/>
      <c r="J324" s="8"/>
      <c r="K324" s="8"/>
      <c r="L324" s="2"/>
      <c r="M324" s="9"/>
      <c r="N324" s="8"/>
      <c r="O324" s="10">
        <f t="shared" si="15"/>
      </c>
      <c r="P324" s="4"/>
      <c r="Q324" s="5">
        <f t="shared" si="16"/>
      </c>
      <c r="R324" s="4"/>
      <c r="S324" s="5">
        <f>IF($B324="","",$B324&amp;"-"&amp;COUNTIFS($B$2:$B324,$B324))</f>
      </c>
      <c r="T324" s="5">
        <f t="shared" si="17"/>
        <v>0</v>
      </c>
    </row>
    <row r="325" ht="27.75" customHeight="1" spans="1:20" x14ac:dyDescent="0.25">
      <c r="A325" s="2"/>
      <c r="B325" s="2"/>
      <c r="C325" s="7">
        <f>IF($B325="","",IFERROR(INDEX('Meetings (MOM)'!$B$2:$B$201,MATCH($B325,'Meetings (MOM)'!$A$2:$A$201,0)),""))</f>
      </c>
      <c r="D325" s="5">
        <f>IF($B325="","",IFERROR(INDEX('Meetings (MOM)'!$C$2:$C$201,MATCH($B325,'Meetings (MOM)'!$A$2:$A$201,0)),""))</f>
      </c>
      <c r="E325" s="4"/>
      <c r="F325" s="2"/>
      <c r="G325" s="2"/>
      <c r="H325" s="2"/>
      <c r="I325" s="8"/>
      <c r="J325" s="8"/>
      <c r="K325" s="8"/>
      <c r="L325" s="2"/>
      <c r="M325" s="9"/>
      <c r="N325" s="8"/>
      <c r="O325" s="10">
        <f t="shared" si="15"/>
      </c>
      <c r="P325" s="4"/>
      <c r="Q325" s="5">
        <f t="shared" si="16"/>
      </c>
      <c r="R325" s="4"/>
      <c r="S325" s="5">
        <f>IF($B325="","",$B325&amp;"-"&amp;COUNTIFS($B$2:$B325,$B325))</f>
      </c>
      <c r="T325" s="5">
        <f t="shared" si="17"/>
        <v>0</v>
      </c>
    </row>
    <row r="326" ht="27.75" customHeight="1" spans="1:20" x14ac:dyDescent="0.25">
      <c r="A326" s="2"/>
      <c r="B326" s="2"/>
      <c r="C326" s="7">
        <f>IF($B326="","",IFERROR(INDEX('Meetings (MOM)'!$B$2:$B$201,MATCH($B326,'Meetings (MOM)'!$A$2:$A$201,0)),""))</f>
      </c>
      <c r="D326" s="5">
        <f>IF($B326="","",IFERROR(INDEX('Meetings (MOM)'!$C$2:$C$201,MATCH($B326,'Meetings (MOM)'!$A$2:$A$201,0)),""))</f>
      </c>
      <c r="E326" s="4"/>
      <c r="F326" s="2"/>
      <c r="G326" s="2"/>
      <c r="H326" s="2"/>
      <c r="I326" s="8"/>
      <c r="J326" s="8"/>
      <c r="K326" s="8"/>
      <c r="L326" s="2"/>
      <c r="M326" s="9"/>
      <c r="N326" s="8"/>
      <c r="O326" s="10">
        <f t="shared" si="15"/>
      </c>
      <c r="P326" s="4"/>
      <c r="Q326" s="5">
        <f t="shared" si="16"/>
      </c>
      <c r="R326" s="4"/>
      <c r="S326" s="5">
        <f>IF($B326="","",$B326&amp;"-"&amp;COUNTIFS($B$2:$B326,$B326))</f>
      </c>
      <c r="T326" s="5">
        <f t="shared" si="17"/>
        <v>0</v>
      </c>
    </row>
    <row r="327" ht="27.75" customHeight="1" spans="1:20" x14ac:dyDescent="0.25">
      <c r="A327" s="2"/>
      <c r="B327" s="2"/>
      <c r="C327" s="7">
        <f>IF($B327="","",IFERROR(INDEX('Meetings (MOM)'!$B$2:$B$201,MATCH($B327,'Meetings (MOM)'!$A$2:$A$201,0)),""))</f>
      </c>
      <c r="D327" s="5">
        <f>IF($B327="","",IFERROR(INDEX('Meetings (MOM)'!$C$2:$C$201,MATCH($B327,'Meetings (MOM)'!$A$2:$A$201,0)),""))</f>
      </c>
      <c r="E327" s="4"/>
      <c r="F327" s="2"/>
      <c r="G327" s="2"/>
      <c r="H327" s="2"/>
      <c r="I327" s="8"/>
      <c r="J327" s="8"/>
      <c r="K327" s="8"/>
      <c r="L327" s="2"/>
      <c r="M327" s="9"/>
      <c r="N327" s="8"/>
      <c r="O327" s="10">
        <f t="shared" si="15"/>
      </c>
      <c r="P327" s="4"/>
      <c r="Q327" s="5">
        <f t="shared" si="16"/>
      </c>
      <c r="R327" s="4"/>
      <c r="S327" s="5">
        <f>IF($B327="","",$B327&amp;"-"&amp;COUNTIFS($B$2:$B327,$B327))</f>
      </c>
      <c r="T327" s="5">
        <f t="shared" si="17"/>
        <v>0</v>
      </c>
    </row>
    <row r="328" ht="27.75" customHeight="1" spans="1:20" x14ac:dyDescent="0.25">
      <c r="A328" s="2"/>
      <c r="B328" s="2"/>
      <c r="C328" s="7">
        <f>IF($B328="","",IFERROR(INDEX('Meetings (MOM)'!$B$2:$B$201,MATCH($B328,'Meetings (MOM)'!$A$2:$A$201,0)),""))</f>
      </c>
      <c r="D328" s="5">
        <f>IF($B328="","",IFERROR(INDEX('Meetings (MOM)'!$C$2:$C$201,MATCH($B328,'Meetings (MOM)'!$A$2:$A$201,0)),""))</f>
      </c>
      <c r="E328" s="4"/>
      <c r="F328" s="2"/>
      <c r="G328" s="2"/>
      <c r="H328" s="2"/>
      <c r="I328" s="8"/>
      <c r="J328" s="8"/>
      <c r="K328" s="8"/>
      <c r="L328" s="2"/>
      <c r="M328" s="9"/>
      <c r="N328" s="8"/>
      <c r="O328" s="10">
        <f t="shared" si="15"/>
      </c>
      <c r="P328" s="4"/>
      <c r="Q328" s="5">
        <f t="shared" si="16"/>
      </c>
      <c r="R328" s="4"/>
      <c r="S328" s="5">
        <f>IF($B328="","",$B328&amp;"-"&amp;COUNTIFS($B$2:$B328,$B328))</f>
      </c>
      <c r="T328" s="5">
        <f t="shared" si="17"/>
        <v>0</v>
      </c>
    </row>
    <row r="329" ht="27.75" customHeight="1" spans="1:20" x14ac:dyDescent="0.25">
      <c r="A329" s="2"/>
      <c r="B329" s="2"/>
      <c r="C329" s="7">
        <f>IF($B329="","",IFERROR(INDEX('Meetings (MOM)'!$B$2:$B$201,MATCH($B329,'Meetings (MOM)'!$A$2:$A$201,0)),""))</f>
      </c>
      <c r="D329" s="5">
        <f>IF($B329="","",IFERROR(INDEX('Meetings (MOM)'!$C$2:$C$201,MATCH($B329,'Meetings (MOM)'!$A$2:$A$201,0)),""))</f>
      </c>
      <c r="E329" s="4"/>
      <c r="F329" s="2"/>
      <c r="G329" s="2"/>
      <c r="H329" s="2"/>
      <c r="I329" s="8"/>
      <c r="J329" s="8"/>
      <c r="K329" s="8"/>
      <c r="L329" s="2"/>
      <c r="M329" s="9"/>
      <c r="N329" s="8"/>
      <c r="O329" s="10">
        <f t="shared" si="15"/>
      </c>
      <c r="P329" s="4"/>
      <c r="Q329" s="5">
        <f t="shared" si="16"/>
      </c>
      <c r="R329" s="4"/>
      <c r="S329" s="5">
        <f>IF($B329="","",$B329&amp;"-"&amp;COUNTIFS($B$2:$B329,$B329))</f>
      </c>
      <c r="T329" s="5">
        <f t="shared" si="17"/>
        <v>0</v>
      </c>
    </row>
    <row r="330" ht="27.75" customHeight="1" spans="1:20" x14ac:dyDescent="0.25">
      <c r="A330" s="2"/>
      <c r="B330" s="2"/>
      <c r="C330" s="7">
        <f>IF($B330="","",IFERROR(INDEX('Meetings (MOM)'!$B$2:$B$201,MATCH($B330,'Meetings (MOM)'!$A$2:$A$201,0)),""))</f>
      </c>
      <c r="D330" s="5">
        <f>IF($B330="","",IFERROR(INDEX('Meetings (MOM)'!$C$2:$C$201,MATCH($B330,'Meetings (MOM)'!$A$2:$A$201,0)),""))</f>
      </c>
      <c r="E330" s="4"/>
      <c r="F330" s="2"/>
      <c r="G330" s="2"/>
      <c r="H330" s="2"/>
      <c r="I330" s="8"/>
      <c r="J330" s="8"/>
      <c r="K330" s="8"/>
      <c r="L330" s="2"/>
      <c r="M330" s="9"/>
      <c r="N330" s="8"/>
      <c r="O330" s="10">
        <f t="shared" si="15"/>
      </c>
      <c r="P330" s="4"/>
      <c r="Q330" s="5">
        <f t="shared" si="16"/>
      </c>
      <c r="R330" s="4"/>
      <c r="S330" s="5">
        <f>IF($B330="","",$B330&amp;"-"&amp;COUNTIFS($B$2:$B330,$B330))</f>
      </c>
      <c r="T330" s="5">
        <f t="shared" si="17"/>
        <v>0</v>
      </c>
    </row>
    <row r="331" ht="27.75" customHeight="1" spans="1:20" x14ac:dyDescent="0.25">
      <c r="A331" s="2"/>
      <c r="B331" s="2"/>
      <c r="C331" s="7">
        <f>IF($B331="","",IFERROR(INDEX('Meetings (MOM)'!$B$2:$B$201,MATCH($B331,'Meetings (MOM)'!$A$2:$A$201,0)),""))</f>
      </c>
      <c r="D331" s="5">
        <f>IF($B331="","",IFERROR(INDEX('Meetings (MOM)'!$C$2:$C$201,MATCH($B331,'Meetings (MOM)'!$A$2:$A$201,0)),""))</f>
      </c>
      <c r="E331" s="4"/>
      <c r="F331" s="2"/>
      <c r="G331" s="2"/>
      <c r="H331" s="2"/>
      <c r="I331" s="8"/>
      <c r="J331" s="8"/>
      <c r="K331" s="8"/>
      <c r="L331" s="2"/>
      <c r="M331" s="9"/>
      <c r="N331" s="8"/>
      <c r="O331" s="10">
        <f t="shared" si="15"/>
      </c>
      <c r="P331" s="4"/>
      <c r="Q331" s="5">
        <f t="shared" si="16"/>
      </c>
      <c r="R331" s="4"/>
      <c r="S331" s="5">
        <f>IF($B331="","",$B331&amp;"-"&amp;COUNTIFS($B$2:$B331,$B331))</f>
      </c>
      <c r="T331" s="5">
        <f t="shared" si="17"/>
        <v>0</v>
      </c>
    </row>
    <row r="332" ht="27.75" customHeight="1" spans="1:20" x14ac:dyDescent="0.25">
      <c r="A332" s="2"/>
      <c r="B332" s="2"/>
      <c r="C332" s="7">
        <f>IF($B332="","",IFERROR(INDEX('Meetings (MOM)'!$B$2:$B$201,MATCH($B332,'Meetings (MOM)'!$A$2:$A$201,0)),""))</f>
      </c>
      <c r="D332" s="5">
        <f>IF($B332="","",IFERROR(INDEX('Meetings (MOM)'!$C$2:$C$201,MATCH($B332,'Meetings (MOM)'!$A$2:$A$201,0)),""))</f>
      </c>
      <c r="E332" s="4"/>
      <c r="F332" s="2"/>
      <c r="G332" s="2"/>
      <c r="H332" s="2"/>
      <c r="I332" s="8"/>
      <c r="J332" s="8"/>
      <c r="K332" s="8"/>
      <c r="L332" s="2"/>
      <c r="M332" s="9"/>
      <c r="N332" s="8"/>
      <c r="O332" s="10">
        <f t="shared" si="15"/>
      </c>
      <c r="P332" s="4"/>
      <c r="Q332" s="5">
        <f t="shared" si="16"/>
      </c>
      <c r="R332" s="4"/>
      <c r="S332" s="5">
        <f>IF($B332="","",$B332&amp;"-"&amp;COUNTIFS($B$2:$B332,$B332))</f>
      </c>
      <c r="T332" s="5">
        <f t="shared" si="17"/>
        <v>0</v>
      </c>
    </row>
    <row r="333" ht="27.75" customHeight="1" spans="1:20" x14ac:dyDescent="0.25">
      <c r="A333" s="2"/>
      <c r="B333" s="2"/>
      <c r="C333" s="7">
        <f>IF($B333="","",IFERROR(INDEX('Meetings (MOM)'!$B$2:$B$201,MATCH($B333,'Meetings (MOM)'!$A$2:$A$201,0)),""))</f>
      </c>
      <c r="D333" s="5">
        <f>IF($B333="","",IFERROR(INDEX('Meetings (MOM)'!$C$2:$C$201,MATCH($B333,'Meetings (MOM)'!$A$2:$A$201,0)),""))</f>
      </c>
      <c r="E333" s="4"/>
      <c r="F333" s="2"/>
      <c r="G333" s="2"/>
      <c r="H333" s="2"/>
      <c r="I333" s="8"/>
      <c r="J333" s="8"/>
      <c r="K333" s="8"/>
      <c r="L333" s="2"/>
      <c r="M333" s="9"/>
      <c r="N333" s="8"/>
      <c r="O333" s="10">
        <f t="shared" si="15"/>
      </c>
      <c r="P333" s="4"/>
      <c r="Q333" s="5">
        <f t="shared" si="16"/>
      </c>
      <c r="R333" s="4"/>
      <c r="S333" s="5">
        <f>IF($B333="","",$B333&amp;"-"&amp;COUNTIFS($B$2:$B333,$B333))</f>
      </c>
      <c r="T333" s="5">
        <f t="shared" si="17"/>
        <v>0</v>
      </c>
    </row>
    <row r="334" ht="27.75" customHeight="1" spans="1:20" x14ac:dyDescent="0.25">
      <c r="A334" s="2"/>
      <c r="B334" s="2"/>
      <c r="C334" s="7">
        <f>IF($B334="","",IFERROR(INDEX('Meetings (MOM)'!$B$2:$B$201,MATCH($B334,'Meetings (MOM)'!$A$2:$A$201,0)),""))</f>
      </c>
      <c r="D334" s="5">
        <f>IF($B334="","",IFERROR(INDEX('Meetings (MOM)'!$C$2:$C$201,MATCH($B334,'Meetings (MOM)'!$A$2:$A$201,0)),""))</f>
      </c>
      <c r="E334" s="4"/>
      <c r="F334" s="2"/>
      <c r="G334" s="2"/>
      <c r="H334" s="2"/>
      <c r="I334" s="8"/>
      <c r="J334" s="8"/>
      <c r="K334" s="8"/>
      <c r="L334" s="2"/>
      <c r="M334" s="9"/>
      <c r="N334" s="8"/>
      <c r="O334" s="10">
        <f t="shared" si="15"/>
      </c>
      <c r="P334" s="4"/>
      <c r="Q334" s="5">
        <f t="shared" si="16"/>
      </c>
      <c r="R334" s="4"/>
      <c r="S334" s="5">
        <f>IF($B334="","",$B334&amp;"-"&amp;COUNTIFS($B$2:$B334,$B334))</f>
      </c>
      <c r="T334" s="5">
        <f t="shared" si="17"/>
        <v>0</v>
      </c>
    </row>
    <row r="335" ht="27.75" customHeight="1" spans="1:20" x14ac:dyDescent="0.25">
      <c r="A335" s="2"/>
      <c r="B335" s="2"/>
      <c r="C335" s="7">
        <f>IF($B335="","",IFERROR(INDEX('Meetings (MOM)'!$B$2:$B$201,MATCH($B335,'Meetings (MOM)'!$A$2:$A$201,0)),""))</f>
      </c>
      <c r="D335" s="5">
        <f>IF($B335="","",IFERROR(INDEX('Meetings (MOM)'!$C$2:$C$201,MATCH($B335,'Meetings (MOM)'!$A$2:$A$201,0)),""))</f>
      </c>
      <c r="E335" s="4"/>
      <c r="F335" s="2"/>
      <c r="G335" s="2"/>
      <c r="H335" s="2"/>
      <c r="I335" s="8"/>
      <c r="J335" s="8"/>
      <c r="K335" s="8"/>
      <c r="L335" s="2"/>
      <c r="M335" s="9"/>
      <c r="N335" s="8"/>
      <c r="O335" s="10">
        <f t="shared" si="15"/>
      </c>
      <c r="P335" s="4"/>
      <c r="Q335" s="5">
        <f t="shared" si="16"/>
      </c>
      <c r="R335" s="4"/>
      <c r="S335" s="5">
        <f>IF($B335="","",$B335&amp;"-"&amp;COUNTIFS($B$2:$B335,$B335))</f>
      </c>
      <c r="T335" s="5">
        <f t="shared" si="17"/>
        <v>0</v>
      </c>
    </row>
    <row r="336" ht="27.75" customHeight="1" spans="1:20" x14ac:dyDescent="0.25">
      <c r="A336" s="2"/>
      <c r="B336" s="2"/>
      <c r="C336" s="7">
        <f>IF($B336="","",IFERROR(INDEX('Meetings (MOM)'!$B$2:$B$201,MATCH($B336,'Meetings (MOM)'!$A$2:$A$201,0)),""))</f>
      </c>
      <c r="D336" s="5">
        <f>IF($B336="","",IFERROR(INDEX('Meetings (MOM)'!$C$2:$C$201,MATCH($B336,'Meetings (MOM)'!$A$2:$A$201,0)),""))</f>
      </c>
      <c r="E336" s="4"/>
      <c r="F336" s="2"/>
      <c r="G336" s="2"/>
      <c r="H336" s="2"/>
      <c r="I336" s="8"/>
      <c r="J336" s="8"/>
      <c r="K336" s="8"/>
      <c r="L336" s="2"/>
      <c r="M336" s="9"/>
      <c r="N336" s="8"/>
      <c r="O336" s="10">
        <f t="shared" si="15"/>
      </c>
      <c r="P336" s="4"/>
      <c r="Q336" s="5">
        <f t="shared" si="16"/>
      </c>
      <c r="R336" s="4"/>
      <c r="S336" s="5">
        <f>IF($B336="","",$B336&amp;"-"&amp;COUNTIFS($B$2:$B336,$B336))</f>
      </c>
      <c r="T336" s="5">
        <f t="shared" si="17"/>
        <v>0</v>
      </c>
    </row>
    <row r="337" ht="27.75" customHeight="1" spans="1:20" x14ac:dyDescent="0.25">
      <c r="A337" s="2"/>
      <c r="B337" s="2"/>
      <c r="C337" s="7">
        <f>IF($B337="","",IFERROR(INDEX('Meetings (MOM)'!$B$2:$B$201,MATCH($B337,'Meetings (MOM)'!$A$2:$A$201,0)),""))</f>
      </c>
      <c r="D337" s="5">
        <f>IF($B337="","",IFERROR(INDEX('Meetings (MOM)'!$C$2:$C$201,MATCH($B337,'Meetings (MOM)'!$A$2:$A$201,0)),""))</f>
      </c>
      <c r="E337" s="4"/>
      <c r="F337" s="2"/>
      <c r="G337" s="2"/>
      <c r="H337" s="2"/>
      <c r="I337" s="8"/>
      <c r="J337" s="8"/>
      <c r="K337" s="8"/>
      <c r="L337" s="2"/>
      <c r="M337" s="9"/>
      <c r="N337" s="8"/>
      <c r="O337" s="10">
        <f t="shared" si="15"/>
      </c>
      <c r="P337" s="4"/>
      <c r="Q337" s="5">
        <f t="shared" si="16"/>
      </c>
      <c r="R337" s="4"/>
      <c r="S337" s="5">
        <f>IF($B337="","",$B337&amp;"-"&amp;COUNTIFS($B$2:$B337,$B337))</f>
      </c>
      <c r="T337" s="5">
        <f t="shared" si="17"/>
        <v>0</v>
      </c>
    </row>
    <row r="338" ht="27.75" customHeight="1" spans="1:20" x14ac:dyDescent="0.25">
      <c r="A338" s="2"/>
      <c r="B338" s="2"/>
      <c r="C338" s="7">
        <f>IF($B338="","",IFERROR(INDEX('Meetings (MOM)'!$B$2:$B$201,MATCH($B338,'Meetings (MOM)'!$A$2:$A$201,0)),""))</f>
      </c>
      <c r="D338" s="5">
        <f>IF($B338="","",IFERROR(INDEX('Meetings (MOM)'!$C$2:$C$201,MATCH($B338,'Meetings (MOM)'!$A$2:$A$201,0)),""))</f>
      </c>
      <c r="E338" s="4"/>
      <c r="F338" s="2"/>
      <c r="G338" s="2"/>
      <c r="H338" s="2"/>
      <c r="I338" s="8"/>
      <c r="J338" s="8"/>
      <c r="K338" s="8"/>
      <c r="L338" s="2"/>
      <c r="M338" s="9"/>
      <c r="N338" s="8"/>
      <c r="O338" s="10">
        <f t="shared" si="15"/>
      </c>
      <c r="P338" s="4"/>
      <c r="Q338" s="5">
        <f t="shared" si="16"/>
      </c>
      <c r="R338" s="4"/>
      <c r="S338" s="5">
        <f>IF($B338="","",$B338&amp;"-"&amp;COUNTIFS($B$2:$B338,$B338))</f>
      </c>
      <c r="T338" s="5">
        <f t="shared" si="17"/>
        <v>0</v>
      </c>
    </row>
    <row r="339" ht="27.75" customHeight="1" spans="1:20" x14ac:dyDescent="0.25">
      <c r="A339" s="2"/>
      <c r="B339" s="2"/>
      <c r="C339" s="7">
        <f>IF($B339="","",IFERROR(INDEX('Meetings (MOM)'!$B$2:$B$201,MATCH($B339,'Meetings (MOM)'!$A$2:$A$201,0)),""))</f>
      </c>
      <c r="D339" s="5">
        <f>IF($B339="","",IFERROR(INDEX('Meetings (MOM)'!$C$2:$C$201,MATCH($B339,'Meetings (MOM)'!$A$2:$A$201,0)),""))</f>
      </c>
      <c r="E339" s="4"/>
      <c r="F339" s="2"/>
      <c r="G339" s="2"/>
      <c r="H339" s="2"/>
      <c r="I339" s="8"/>
      <c r="J339" s="8"/>
      <c r="K339" s="8"/>
      <c r="L339" s="2"/>
      <c r="M339" s="9"/>
      <c r="N339" s="8"/>
      <c r="O339" s="10">
        <f t="shared" si="15"/>
      </c>
      <c r="P339" s="4"/>
      <c r="Q339" s="5">
        <f t="shared" si="16"/>
      </c>
      <c r="R339" s="4"/>
      <c r="S339" s="5">
        <f>IF($B339="","",$B339&amp;"-"&amp;COUNTIFS($B$2:$B339,$B339))</f>
      </c>
      <c r="T339" s="5">
        <f t="shared" si="17"/>
        <v>0</v>
      </c>
    </row>
    <row r="340" ht="27.75" customHeight="1" spans="1:20" x14ac:dyDescent="0.25">
      <c r="A340" s="2"/>
      <c r="B340" s="2"/>
      <c r="C340" s="7">
        <f>IF($B340="","",IFERROR(INDEX('Meetings (MOM)'!$B$2:$B$201,MATCH($B340,'Meetings (MOM)'!$A$2:$A$201,0)),""))</f>
      </c>
      <c r="D340" s="5">
        <f>IF($B340="","",IFERROR(INDEX('Meetings (MOM)'!$C$2:$C$201,MATCH($B340,'Meetings (MOM)'!$A$2:$A$201,0)),""))</f>
      </c>
      <c r="E340" s="4"/>
      <c r="F340" s="2"/>
      <c r="G340" s="2"/>
      <c r="H340" s="2"/>
      <c r="I340" s="8"/>
      <c r="J340" s="8"/>
      <c r="K340" s="8"/>
      <c r="L340" s="2"/>
      <c r="M340" s="9"/>
      <c r="N340" s="8"/>
      <c r="O340" s="10">
        <f t="shared" si="15"/>
      </c>
      <c r="P340" s="4"/>
      <c r="Q340" s="5">
        <f t="shared" si="16"/>
      </c>
      <c r="R340" s="4"/>
      <c r="S340" s="5">
        <f>IF($B340="","",$B340&amp;"-"&amp;COUNTIFS($B$2:$B340,$B340))</f>
      </c>
      <c r="T340" s="5">
        <f t="shared" si="17"/>
        <v>0</v>
      </c>
    </row>
    <row r="341" ht="27.75" customHeight="1" spans="1:20" x14ac:dyDescent="0.25">
      <c r="A341" s="2"/>
      <c r="B341" s="2"/>
      <c r="C341" s="7">
        <f>IF($B341="","",IFERROR(INDEX('Meetings (MOM)'!$B$2:$B$201,MATCH($B341,'Meetings (MOM)'!$A$2:$A$201,0)),""))</f>
      </c>
      <c r="D341" s="5">
        <f>IF($B341="","",IFERROR(INDEX('Meetings (MOM)'!$C$2:$C$201,MATCH($B341,'Meetings (MOM)'!$A$2:$A$201,0)),""))</f>
      </c>
      <c r="E341" s="4"/>
      <c r="F341" s="2"/>
      <c r="G341" s="2"/>
      <c r="H341" s="2"/>
      <c r="I341" s="8"/>
      <c r="J341" s="8"/>
      <c r="K341" s="8"/>
      <c r="L341" s="2"/>
      <c r="M341" s="9"/>
      <c r="N341" s="8"/>
      <c r="O341" s="10">
        <f t="shared" si="15"/>
      </c>
      <c r="P341" s="4"/>
      <c r="Q341" s="5">
        <f t="shared" si="16"/>
      </c>
      <c r="R341" s="4"/>
      <c r="S341" s="5">
        <f>IF($B341="","",$B341&amp;"-"&amp;COUNTIFS($B$2:$B341,$B341))</f>
      </c>
      <c r="T341" s="5">
        <f t="shared" si="17"/>
        <v>0</v>
      </c>
    </row>
    <row r="342" ht="27.75" customHeight="1" spans="1:20" x14ac:dyDescent="0.25">
      <c r="A342" s="2"/>
      <c r="B342" s="2"/>
      <c r="C342" s="7">
        <f>IF($B342="","",IFERROR(INDEX('Meetings (MOM)'!$B$2:$B$201,MATCH($B342,'Meetings (MOM)'!$A$2:$A$201,0)),""))</f>
      </c>
      <c r="D342" s="5">
        <f>IF($B342="","",IFERROR(INDEX('Meetings (MOM)'!$C$2:$C$201,MATCH($B342,'Meetings (MOM)'!$A$2:$A$201,0)),""))</f>
      </c>
      <c r="E342" s="4"/>
      <c r="F342" s="2"/>
      <c r="G342" s="2"/>
      <c r="H342" s="2"/>
      <c r="I342" s="8"/>
      <c r="J342" s="8"/>
      <c r="K342" s="8"/>
      <c r="L342" s="2"/>
      <c r="M342" s="9"/>
      <c r="N342" s="8"/>
      <c r="O342" s="10">
        <f t="shared" si="15"/>
      </c>
      <c r="P342" s="4"/>
      <c r="Q342" s="5">
        <f t="shared" si="16"/>
      </c>
      <c r="R342" s="4"/>
      <c r="S342" s="5">
        <f>IF($B342="","",$B342&amp;"-"&amp;COUNTIFS($B$2:$B342,$B342))</f>
      </c>
      <c r="T342" s="5">
        <f t="shared" si="17"/>
        <v>0</v>
      </c>
    </row>
    <row r="343" ht="27.75" customHeight="1" spans="1:20" x14ac:dyDescent="0.25">
      <c r="A343" s="2"/>
      <c r="B343" s="2"/>
      <c r="C343" s="7">
        <f>IF($B343="","",IFERROR(INDEX('Meetings (MOM)'!$B$2:$B$201,MATCH($B343,'Meetings (MOM)'!$A$2:$A$201,0)),""))</f>
      </c>
      <c r="D343" s="5">
        <f>IF($B343="","",IFERROR(INDEX('Meetings (MOM)'!$C$2:$C$201,MATCH($B343,'Meetings (MOM)'!$A$2:$A$201,0)),""))</f>
      </c>
      <c r="E343" s="4"/>
      <c r="F343" s="2"/>
      <c r="G343" s="2"/>
      <c r="H343" s="2"/>
      <c r="I343" s="8"/>
      <c r="J343" s="8"/>
      <c r="K343" s="8"/>
      <c r="L343" s="2"/>
      <c r="M343" s="9"/>
      <c r="N343" s="8"/>
      <c r="O343" s="10">
        <f t="shared" si="15"/>
      </c>
      <c r="P343" s="4"/>
      <c r="Q343" s="5">
        <f t="shared" si="16"/>
      </c>
      <c r="R343" s="4"/>
      <c r="S343" s="5">
        <f>IF($B343="","",$B343&amp;"-"&amp;COUNTIFS($B$2:$B343,$B343))</f>
      </c>
      <c r="T343" s="5">
        <f t="shared" si="17"/>
        <v>0</v>
      </c>
    </row>
    <row r="344" ht="27.75" customHeight="1" spans="1:20" x14ac:dyDescent="0.25">
      <c r="A344" s="2"/>
      <c r="B344" s="2"/>
      <c r="C344" s="7">
        <f>IF($B344="","",IFERROR(INDEX('Meetings (MOM)'!$B$2:$B$201,MATCH($B344,'Meetings (MOM)'!$A$2:$A$201,0)),""))</f>
      </c>
      <c r="D344" s="5">
        <f>IF($B344="","",IFERROR(INDEX('Meetings (MOM)'!$C$2:$C$201,MATCH($B344,'Meetings (MOM)'!$A$2:$A$201,0)),""))</f>
      </c>
      <c r="E344" s="4"/>
      <c r="F344" s="2"/>
      <c r="G344" s="2"/>
      <c r="H344" s="2"/>
      <c r="I344" s="8"/>
      <c r="J344" s="8"/>
      <c r="K344" s="8"/>
      <c r="L344" s="2"/>
      <c r="M344" s="9"/>
      <c r="N344" s="8"/>
      <c r="O344" s="10">
        <f t="shared" si="15"/>
      </c>
      <c r="P344" s="4"/>
      <c r="Q344" s="5">
        <f t="shared" si="16"/>
      </c>
      <c r="R344" s="4"/>
      <c r="S344" s="5">
        <f>IF($B344="","",$B344&amp;"-"&amp;COUNTIFS($B$2:$B344,$B344))</f>
      </c>
      <c r="T344" s="5">
        <f t="shared" si="17"/>
        <v>0</v>
      </c>
    </row>
    <row r="345" ht="27.75" customHeight="1" spans="1:20" x14ac:dyDescent="0.25">
      <c r="A345" s="2"/>
      <c r="B345" s="2"/>
      <c r="C345" s="7">
        <f>IF($B345="","",IFERROR(INDEX('Meetings (MOM)'!$B$2:$B$201,MATCH($B345,'Meetings (MOM)'!$A$2:$A$201,0)),""))</f>
      </c>
      <c r="D345" s="5">
        <f>IF($B345="","",IFERROR(INDEX('Meetings (MOM)'!$C$2:$C$201,MATCH($B345,'Meetings (MOM)'!$A$2:$A$201,0)),""))</f>
      </c>
      <c r="E345" s="4"/>
      <c r="F345" s="2"/>
      <c r="G345" s="2"/>
      <c r="H345" s="2"/>
      <c r="I345" s="8"/>
      <c r="J345" s="8"/>
      <c r="K345" s="8"/>
      <c r="L345" s="2"/>
      <c r="M345" s="9"/>
      <c r="N345" s="8"/>
      <c r="O345" s="10">
        <f t="shared" si="15"/>
      </c>
      <c r="P345" s="4"/>
      <c r="Q345" s="5">
        <f t="shared" si="16"/>
      </c>
      <c r="R345" s="4"/>
      <c r="S345" s="5">
        <f>IF($B345="","",$B345&amp;"-"&amp;COUNTIFS($B$2:$B345,$B345))</f>
      </c>
      <c r="T345" s="5">
        <f t="shared" si="17"/>
        <v>0</v>
      </c>
    </row>
    <row r="346" ht="27.75" customHeight="1" spans="1:20" x14ac:dyDescent="0.25">
      <c r="A346" s="2"/>
      <c r="B346" s="2"/>
      <c r="C346" s="7">
        <f>IF($B346="","",IFERROR(INDEX('Meetings (MOM)'!$B$2:$B$201,MATCH($B346,'Meetings (MOM)'!$A$2:$A$201,0)),""))</f>
      </c>
      <c r="D346" s="5">
        <f>IF($B346="","",IFERROR(INDEX('Meetings (MOM)'!$C$2:$C$201,MATCH($B346,'Meetings (MOM)'!$A$2:$A$201,0)),""))</f>
      </c>
      <c r="E346" s="4"/>
      <c r="F346" s="2"/>
      <c r="G346" s="2"/>
      <c r="H346" s="2"/>
      <c r="I346" s="8"/>
      <c r="J346" s="8"/>
      <c r="K346" s="8"/>
      <c r="L346" s="2"/>
      <c r="M346" s="9"/>
      <c r="N346" s="8"/>
      <c r="O346" s="10">
        <f t="shared" si="15"/>
      </c>
      <c r="P346" s="4"/>
      <c r="Q346" s="5">
        <f t="shared" si="16"/>
      </c>
      <c r="R346" s="4"/>
      <c r="S346" s="5">
        <f>IF($B346="","",$B346&amp;"-"&amp;COUNTIFS($B$2:$B346,$B346))</f>
      </c>
      <c r="T346" s="5">
        <f t="shared" si="17"/>
        <v>0</v>
      </c>
    </row>
    <row r="347" ht="27.75" customHeight="1" spans="1:20" x14ac:dyDescent="0.25">
      <c r="A347" s="2"/>
      <c r="B347" s="2"/>
      <c r="C347" s="7">
        <f>IF($B347="","",IFERROR(INDEX('Meetings (MOM)'!$B$2:$B$201,MATCH($B347,'Meetings (MOM)'!$A$2:$A$201,0)),""))</f>
      </c>
      <c r="D347" s="5">
        <f>IF($B347="","",IFERROR(INDEX('Meetings (MOM)'!$C$2:$C$201,MATCH($B347,'Meetings (MOM)'!$A$2:$A$201,0)),""))</f>
      </c>
      <c r="E347" s="4"/>
      <c r="F347" s="2"/>
      <c r="G347" s="2"/>
      <c r="H347" s="2"/>
      <c r="I347" s="8"/>
      <c r="J347" s="8"/>
      <c r="K347" s="8"/>
      <c r="L347" s="2"/>
      <c r="M347" s="9"/>
      <c r="N347" s="8"/>
      <c r="O347" s="10">
        <f t="shared" si="15"/>
      </c>
      <c r="P347" s="4"/>
      <c r="Q347" s="5">
        <f t="shared" si="16"/>
      </c>
      <c r="R347" s="4"/>
      <c r="S347" s="5">
        <f>IF($B347="","",$B347&amp;"-"&amp;COUNTIFS($B$2:$B347,$B347))</f>
      </c>
      <c r="T347" s="5">
        <f t="shared" si="17"/>
        <v>0</v>
      </c>
    </row>
    <row r="348" ht="27.75" customHeight="1" spans="1:20" x14ac:dyDescent="0.25">
      <c r="A348" s="2"/>
      <c r="B348" s="2"/>
      <c r="C348" s="7">
        <f>IF($B348="","",IFERROR(INDEX('Meetings (MOM)'!$B$2:$B$201,MATCH($B348,'Meetings (MOM)'!$A$2:$A$201,0)),""))</f>
      </c>
      <c r="D348" s="5">
        <f>IF($B348="","",IFERROR(INDEX('Meetings (MOM)'!$C$2:$C$201,MATCH($B348,'Meetings (MOM)'!$A$2:$A$201,0)),""))</f>
      </c>
      <c r="E348" s="4"/>
      <c r="F348" s="2"/>
      <c r="G348" s="2"/>
      <c r="H348" s="2"/>
      <c r="I348" s="8"/>
      <c r="J348" s="8"/>
      <c r="K348" s="8"/>
      <c r="L348" s="2"/>
      <c r="M348" s="9"/>
      <c r="N348" s="8"/>
      <c r="O348" s="10">
        <f t="shared" si="15"/>
      </c>
      <c r="P348" s="4"/>
      <c r="Q348" s="5">
        <f t="shared" si="16"/>
      </c>
      <c r="R348" s="4"/>
      <c r="S348" s="5">
        <f>IF($B348="","",$B348&amp;"-"&amp;COUNTIFS($B$2:$B348,$B348))</f>
      </c>
      <c r="T348" s="5">
        <f t="shared" si="17"/>
        <v>0</v>
      </c>
    </row>
    <row r="349" ht="27.75" customHeight="1" spans="1:20" x14ac:dyDescent="0.25">
      <c r="A349" s="2"/>
      <c r="B349" s="2"/>
      <c r="C349" s="7">
        <f>IF($B349="","",IFERROR(INDEX('Meetings (MOM)'!$B$2:$B$201,MATCH($B349,'Meetings (MOM)'!$A$2:$A$201,0)),""))</f>
      </c>
      <c r="D349" s="5">
        <f>IF($B349="","",IFERROR(INDEX('Meetings (MOM)'!$C$2:$C$201,MATCH($B349,'Meetings (MOM)'!$A$2:$A$201,0)),""))</f>
      </c>
      <c r="E349" s="4"/>
      <c r="F349" s="2"/>
      <c r="G349" s="2"/>
      <c r="H349" s="2"/>
      <c r="I349" s="8"/>
      <c r="J349" s="8"/>
      <c r="K349" s="8"/>
      <c r="L349" s="2"/>
      <c r="M349" s="9"/>
      <c r="N349" s="8"/>
      <c r="O349" s="10">
        <f t="shared" si="15"/>
      </c>
      <c r="P349" s="4"/>
      <c r="Q349" s="5">
        <f t="shared" si="16"/>
      </c>
      <c r="R349" s="4"/>
      <c r="S349" s="5">
        <f>IF($B349="","",$B349&amp;"-"&amp;COUNTIFS($B$2:$B349,$B349))</f>
      </c>
      <c r="T349" s="5">
        <f t="shared" si="17"/>
        <v>0</v>
      </c>
    </row>
    <row r="350" ht="27.75" customHeight="1" spans="1:20" x14ac:dyDescent="0.25">
      <c r="A350" s="2"/>
      <c r="B350" s="2"/>
      <c r="C350" s="7">
        <f>IF($B350="","",IFERROR(INDEX('Meetings (MOM)'!$B$2:$B$201,MATCH($B350,'Meetings (MOM)'!$A$2:$A$201,0)),""))</f>
      </c>
      <c r="D350" s="5">
        <f>IF($B350="","",IFERROR(INDEX('Meetings (MOM)'!$C$2:$C$201,MATCH($B350,'Meetings (MOM)'!$A$2:$A$201,0)),""))</f>
      </c>
      <c r="E350" s="4"/>
      <c r="F350" s="2"/>
      <c r="G350" s="2"/>
      <c r="H350" s="2"/>
      <c r="I350" s="8"/>
      <c r="J350" s="8"/>
      <c r="K350" s="8"/>
      <c r="L350" s="2"/>
      <c r="M350" s="9"/>
      <c r="N350" s="8"/>
      <c r="O350" s="10">
        <f t="shared" si="15"/>
      </c>
      <c r="P350" s="4"/>
      <c r="Q350" s="5">
        <f t="shared" si="16"/>
      </c>
      <c r="R350" s="4"/>
      <c r="S350" s="5">
        <f>IF($B350="","",$B350&amp;"-"&amp;COUNTIFS($B$2:$B350,$B350))</f>
      </c>
      <c r="T350" s="5">
        <f t="shared" si="17"/>
        <v>0</v>
      </c>
    </row>
    <row r="351" ht="27.75" customHeight="1" spans="1:20" x14ac:dyDescent="0.25">
      <c r="A351" s="2"/>
      <c r="B351" s="2"/>
      <c r="C351" s="7">
        <f>IF($B351="","",IFERROR(INDEX('Meetings (MOM)'!$B$2:$B$201,MATCH($B351,'Meetings (MOM)'!$A$2:$A$201,0)),""))</f>
      </c>
      <c r="D351" s="5">
        <f>IF($B351="","",IFERROR(INDEX('Meetings (MOM)'!$C$2:$C$201,MATCH($B351,'Meetings (MOM)'!$A$2:$A$201,0)),""))</f>
      </c>
      <c r="E351" s="4"/>
      <c r="F351" s="2"/>
      <c r="G351" s="2"/>
      <c r="H351" s="2"/>
      <c r="I351" s="8"/>
      <c r="J351" s="8"/>
      <c r="K351" s="8"/>
      <c r="L351" s="2"/>
      <c r="M351" s="9"/>
      <c r="N351" s="8"/>
      <c r="O351" s="10">
        <f t="shared" si="15"/>
      </c>
      <c r="P351" s="4"/>
      <c r="Q351" s="5">
        <f t="shared" si="16"/>
      </c>
      <c r="R351" s="4"/>
      <c r="S351" s="5">
        <f>IF($B351="","",$B351&amp;"-"&amp;COUNTIFS($B$2:$B351,$B351))</f>
      </c>
      <c r="T351" s="5">
        <f t="shared" si="17"/>
        <v>0</v>
      </c>
    </row>
    <row r="352" ht="27.75" customHeight="1" spans="1:20" x14ac:dyDescent="0.25">
      <c r="A352" s="2"/>
      <c r="B352" s="2"/>
      <c r="C352" s="7">
        <f>IF($B352="","",IFERROR(INDEX('Meetings (MOM)'!$B$2:$B$201,MATCH($B352,'Meetings (MOM)'!$A$2:$A$201,0)),""))</f>
      </c>
      <c r="D352" s="5">
        <f>IF($B352="","",IFERROR(INDEX('Meetings (MOM)'!$C$2:$C$201,MATCH($B352,'Meetings (MOM)'!$A$2:$A$201,0)),""))</f>
      </c>
      <c r="E352" s="4"/>
      <c r="F352" s="2"/>
      <c r="G352" s="2"/>
      <c r="H352" s="2"/>
      <c r="I352" s="8"/>
      <c r="J352" s="8"/>
      <c r="K352" s="8"/>
      <c r="L352" s="2"/>
      <c r="M352" s="9"/>
      <c r="N352" s="8"/>
      <c r="O352" s="10">
        <f t="shared" si="15"/>
      </c>
      <c r="P352" s="4"/>
      <c r="Q352" s="5">
        <f t="shared" si="16"/>
      </c>
      <c r="R352" s="4"/>
      <c r="S352" s="5">
        <f>IF($B352="","",$B352&amp;"-"&amp;COUNTIFS($B$2:$B352,$B352))</f>
      </c>
      <c r="T352" s="5">
        <f t="shared" si="17"/>
        <v>0</v>
      </c>
    </row>
    <row r="353" ht="27.75" customHeight="1" spans="1:20" x14ac:dyDescent="0.25">
      <c r="A353" s="2"/>
      <c r="B353" s="2"/>
      <c r="C353" s="7">
        <f>IF($B353="","",IFERROR(INDEX('Meetings (MOM)'!$B$2:$B$201,MATCH($B353,'Meetings (MOM)'!$A$2:$A$201,0)),""))</f>
      </c>
      <c r="D353" s="5">
        <f>IF($B353="","",IFERROR(INDEX('Meetings (MOM)'!$C$2:$C$201,MATCH($B353,'Meetings (MOM)'!$A$2:$A$201,0)),""))</f>
      </c>
      <c r="E353" s="4"/>
      <c r="F353" s="2"/>
      <c r="G353" s="2"/>
      <c r="H353" s="2"/>
      <c r="I353" s="8"/>
      <c r="J353" s="8"/>
      <c r="K353" s="8"/>
      <c r="L353" s="2"/>
      <c r="M353" s="9"/>
      <c r="N353" s="8"/>
      <c r="O353" s="10">
        <f t="shared" si="15"/>
      </c>
      <c r="P353" s="4"/>
      <c r="Q353" s="5">
        <f t="shared" si="16"/>
      </c>
      <c r="R353" s="4"/>
      <c r="S353" s="5">
        <f>IF($B353="","",$B353&amp;"-"&amp;COUNTIFS($B$2:$B353,$B353))</f>
      </c>
      <c r="T353" s="5">
        <f t="shared" si="17"/>
        <v>0</v>
      </c>
    </row>
    <row r="354" ht="27.75" customHeight="1" spans="1:20" x14ac:dyDescent="0.25">
      <c r="A354" s="2"/>
      <c r="B354" s="2"/>
      <c r="C354" s="7">
        <f>IF($B354="","",IFERROR(INDEX('Meetings (MOM)'!$B$2:$B$201,MATCH($B354,'Meetings (MOM)'!$A$2:$A$201,0)),""))</f>
      </c>
      <c r="D354" s="5">
        <f>IF($B354="","",IFERROR(INDEX('Meetings (MOM)'!$C$2:$C$201,MATCH($B354,'Meetings (MOM)'!$A$2:$A$201,0)),""))</f>
      </c>
      <c r="E354" s="4"/>
      <c r="F354" s="2"/>
      <c r="G354" s="2"/>
      <c r="H354" s="2"/>
      <c r="I354" s="8"/>
      <c r="J354" s="8"/>
      <c r="K354" s="8"/>
      <c r="L354" s="2"/>
      <c r="M354" s="9"/>
      <c r="N354" s="8"/>
      <c r="O354" s="10">
        <f t="shared" si="15"/>
      </c>
      <c r="P354" s="4"/>
      <c r="Q354" s="5">
        <f t="shared" si="16"/>
      </c>
      <c r="R354" s="4"/>
      <c r="S354" s="5">
        <f>IF($B354="","",$B354&amp;"-"&amp;COUNTIFS($B$2:$B354,$B354))</f>
      </c>
      <c r="T354" s="5">
        <f t="shared" si="17"/>
        <v>0</v>
      </c>
    </row>
    <row r="355" ht="27.75" customHeight="1" spans="1:20" x14ac:dyDescent="0.25">
      <c r="A355" s="2"/>
      <c r="B355" s="2"/>
      <c r="C355" s="7">
        <f>IF($B355="","",IFERROR(INDEX('Meetings (MOM)'!$B$2:$B$201,MATCH($B355,'Meetings (MOM)'!$A$2:$A$201,0)),""))</f>
      </c>
      <c r="D355" s="5">
        <f>IF($B355="","",IFERROR(INDEX('Meetings (MOM)'!$C$2:$C$201,MATCH($B355,'Meetings (MOM)'!$A$2:$A$201,0)),""))</f>
      </c>
      <c r="E355" s="4"/>
      <c r="F355" s="2"/>
      <c r="G355" s="2"/>
      <c r="H355" s="2"/>
      <c r="I355" s="8"/>
      <c r="J355" s="8"/>
      <c r="K355" s="8"/>
      <c r="L355" s="2"/>
      <c r="M355" s="9"/>
      <c r="N355" s="8"/>
      <c r="O355" s="10">
        <f t="shared" si="15"/>
      </c>
      <c r="P355" s="4"/>
      <c r="Q355" s="5">
        <f t="shared" si="16"/>
      </c>
      <c r="R355" s="4"/>
      <c r="S355" s="5">
        <f>IF($B355="","",$B355&amp;"-"&amp;COUNTIFS($B$2:$B355,$B355))</f>
      </c>
      <c r="T355" s="5">
        <f t="shared" si="17"/>
        <v>0</v>
      </c>
    </row>
    <row r="356" ht="27.75" customHeight="1" spans="1:20" x14ac:dyDescent="0.25">
      <c r="A356" s="2"/>
      <c r="B356" s="2"/>
      <c r="C356" s="7">
        <f>IF($B356="","",IFERROR(INDEX('Meetings (MOM)'!$B$2:$B$201,MATCH($B356,'Meetings (MOM)'!$A$2:$A$201,0)),""))</f>
      </c>
      <c r="D356" s="5">
        <f>IF($B356="","",IFERROR(INDEX('Meetings (MOM)'!$C$2:$C$201,MATCH($B356,'Meetings (MOM)'!$A$2:$A$201,0)),""))</f>
      </c>
      <c r="E356" s="4"/>
      <c r="F356" s="2"/>
      <c r="G356" s="2"/>
      <c r="H356" s="2"/>
      <c r="I356" s="8"/>
      <c r="J356" s="8"/>
      <c r="K356" s="8"/>
      <c r="L356" s="2"/>
      <c r="M356" s="9"/>
      <c r="N356" s="8"/>
      <c r="O356" s="10">
        <f t="shared" si="15"/>
      </c>
      <c r="P356" s="4"/>
      <c r="Q356" s="5">
        <f t="shared" si="16"/>
      </c>
      <c r="R356" s="4"/>
      <c r="S356" s="5">
        <f>IF($B356="","",$B356&amp;"-"&amp;COUNTIFS($B$2:$B356,$B356))</f>
      </c>
      <c r="T356" s="5">
        <f t="shared" si="17"/>
        <v>0</v>
      </c>
    </row>
    <row r="357" ht="27.75" customHeight="1" spans="1:20" x14ac:dyDescent="0.25">
      <c r="A357" s="2"/>
      <c r="B357" s="2"/>
      <c r="C357" s="7">
        <f>IF($B357="","",IFERROR(INDEX('Meetings (MOM)'!$B$2:$B$201,MATCH($B357,'Meetings (MOM)'!$A$2:$A$201,0)),""))</f>
      </c>
      <c r="D357" s="5">
        <f>IF($B357="","",IFERROR(INDEX('Meetings (MOM)'!$C$2:$C$201,MATCH($B357,'Meetings (MOM)'!$A$2:$A$201,0)),""))</f>
      </c>
      <c r="E357" s="4"/>
      <c r="F357" s="2"/>
      <c r="G357" s="2"/>
      <c r="H357" s="2"/>
      <c r="I357" s="8"/>
      <c r="J357" s="8"/>
      <c r="K357" s="8"/>
      <c r="L357" s="2"/>
      <c r="M357" s="9"/>
      <c r="N357" s="8"/>
      <c r="O357" s="10">
        <f t="shared" si="15"/>
      </c>
      <c r="P357" s="4"/>
      <c r="Q357" s="5">
        <f t="shared" si="16"/>
      </c>
      <c r="R357" s="4"/>
      <c r="S357" s="5">
        <f>IF($B357="","",$B357&amp;"-"&amp;COUNTIFS($B$2:$B357,$B357))</f>
      </c>
      <c r="T357" s="5">
        <f t="shared" si="17"/>
        <v>0</v>
      </c>
    </row>
    <row r="358" ht="27.75" customHeight="1" spans="1:20" x14ac:dyDescent="0.25">
      <c r="A358" s="2"/>
      <c r="B358" s="2"/>
      <c r="C358" s="7">
        <f>IF($B358="","",IFERROR(INDEX('Meetings (MOM)'!$B$2:$B$201,MATCH($B358,'Meetings (MOM)'!$A$2:$A$201,0)),""))</f>
      </c>
      <c r="D358" s="5">
        <f>IF($B358="","",IFERROR(INDEX('Meetings (MOM)'!$C$2:$C$201,MATCH($B358,'Meetings (MOM)'!$A$2:$A$201,0)),""))</f>
      </c>
      <c r="E358" s="4"/>
      <c r="F358" s="2"/>
      <c r="G358" s="2"/>
      <c r="H358" s="2"/>
      <c r="I358" s="8"/>
      <c r="J358" s="8"/>
      <c r="K358" s="8"/>
      <c r="L358" s="2"/>
      <c r="M358" s="9"/>
      <c r="N358" s="8"/>
      <c r="O358" s="10">
        <f t="shared" si="15"/>
      </c>
      <c r="P358" s="4"/>
      <c r="Q358" s="5">
        <f t="shared" si="16"/>
      </c>
      <c r="R358" s="4"/>
      <c r="S358" s="5">
        <f>IF($B358="","",$B358&amp;"-"&amp;COUNTIFS($B$2:$B358,$B358))</f>
      </c>
      <c r="T358" s="5">
        <f t="shared" si="17"/>
        <v>0</v>
      </c>
    </row>
    <row r="359" ht="27.75" customHeight="1" spans="1:20" x14ac:dyDescent="0.25">
      <c r="A359" s="2"/>
      <c r="B359" s="2"/>
      <c r="C359" s="7">
        <f>IF($B359="","",IFERROR(INDEX('Meetings (MOM)'!$B$2:$B$201,MATCH($B359,'Meetings (MOM)'!$A$2:$A$201,0)),""))</f>
      </c>
      <c r="D359" s="5">
        <f>IF($B359="","",IFERROR(INDEX('Meetings (MOM)'!$C$2:$C$201,MATCH($B359,'Meetings (MOM)'!$A$2:$A$201,0)),""))</f>
      </c>
      <c r="E359" s="4"/>
      <c r="F359" s="2"/>
      <c r="G359" s="2"/>
      <c r="H359" s="2"/>
      <c r="I359" s="8"/>
      <c r="J359" s="8"/>
      <c r="K359" s="8"/>
      <c r="L359" s="2"/>
      <c r="M359" s="9"/>
      <c r="N359" s="8"/>
      <c r="O359" s="10">
        <f t="shared" si="15"/>
      </c>
      <c r="P359" s="4"/>
      <c r="Q359" s="5">
        <f t="shared" si="16"/>
      </c>
      <c r="R359" s="4"/>
      <c r="S359" s="5">
        <f>IF($B359="","",$B359&amp;"-"&amp;COUNTIFS($B$2:$B359,$B359))</f>
      </c>
      <c r="T359" s="5">
        <f t="shared" si="17"/>
        <v>0</v>
      </c>
    </row>
    <row r="360" ht="27.75" customHeight="1" spans="1:20" x14ac:dyDescent="0.25">
      <c r="A360" s="2"/>
      <c r="B360" s="2"/>
      <c r="C360" s="7">
        <f>IF($B360="","",IFERROR(INDEX('Meetings (MOM)'!$B$2:$B$201,MATCH($B360,'Meetings (MOM)'!$A$2:$A$201,0)),""))</f>
      </c>
      <c r="D360" s="5">
        <f>IF($B360="","",IFERROR(INDEX('Meetings (MOM)'!$C$2:$C$201,MATCH($B360,'Meetings (MOM)'!$A$2:$A$201,0)),""))</f>
      </c>
      <c r="E360" s="4"/>
      <c r="F360" s="2"/>
      <c r="G360" s="2"/>
      <c r="H360" s="2"/>
      <c r="I360" s="8"/>
      <c r="J360" s="8"/>
      <c r="K360" s="8"/>
      <c r="L360" s="2"/>
      <c r="M360" s="9"/>
      <c r="N360" s="8"/>
      <c r="O360" s="10">
        <f t="shared" si="15"/>
      </c>
      <c r="P360" s="4"/>
      <c r="Q360" s="5">
        <f t="shared" si="16"/>
      </c>
      <c r="R360" s="4"/>
      <c r="S360" s="5">
        <f>IF($B360="","",$B360&amp;"-"&amp;COUNTIFS($B$2:$B360,$B360))</f>
      </c>
      <c r="T360" s="5">
        <f t="shared" si="17"/>
        <v>0</v>
      </c>
    </row>
    <row r="361" ht="27.75" customHeight="1" spans="1:20" x14ac:dyDescent="0.25">
      <c r="A361" s="2"/>
      <c r="B361" s="2"/>
      <c r="C361" s="7">
        <f>IF($B361="","",IFERROR(INDEX('Meetings (MOM)'!$B$2:$B$201,MATCH($B361,'Meetings (MOM)'!$A$2:$A$201,0)),""))</f>
      </c>
      <c r="D361" s="5">
        <f>IF($B361="","",IFERROR(INDEX('Meetings (MOM)'!$C$2:$C$201,MATCH($B361,'Meetings (MOM)'!$A$2:$A$201,0)),""))</f>
      </c>
      <c r="E361" s="4"/>
      <c r="F361" s="2"/>
      <c r="G361" s="2"/>
      <c r="H361" s="2"/>
      <c r="I361" s="8"/>
      <c r="J361" s="8"/>
      <c r="K361" s="8"/>
      <c r="L361" s="2"/>
      <c r="M361" s="9"/>
      <c r="N361" s="8"/>
      <c r="O361" s="10">
        <f t="shared" si="15"/>
      </c>
      <c r="P361" s="4"/>
      <c r="Q361" s="5">
        <f t="shared" si="16"/>
      </c>
      <c r="R361" s="4"/>
      <c r="S361" s="5">
        <f>IF($B361="","",$B361&amp;"-"&amp;COUNTIFS($B$2:$B361,$B361))</f>
      </c>
      <c r="T361" s="5">
        <f t="shared" si="17"/>
        <v>0</v>
      </c>
    </row>
    <row r="362" ht="27.75" customHeight="1" spans="1:20" x14ac:dyDescent="0.25">
      <c r="A362" s="2"/>
      <c r="B362" s="2"/>
      <c r="C362" s="7">
        <f>IF($B362="","",IFERROR(INDEX('Meetings (MOM)'!$B$2:$B$201,MATCH($B362,'Meetings (MOM)'!$A$2:$A$201,0)),""))</f>
      </c>
      <c r="D362" s="5">
        <f>IF($B362="","",IFERROR(INDEX('Meetings (MOM)'!$C$2:$C$201,MATCH($B362,'Meetings (MOM)'!$A$2:$A$201,0)),""))</f>
      </c>
      <c r="E362" s="4"/>
      <c r="F362" s="2"/>
      <c r="G362" s="2"/>
      <c r="H362" s="2"/>
      <c r="I362" s="8"/>
      <c r="J362" s="8"/>
      <c r="K362" s="8"/>
      <c r="L362" s="2"/>
      <c r="M362" s="9"/>
      <c r="N362" s="8"/>
      <c r="O362" s="10">
        <f t="shared" si="15"/>
      </c>
      <c r="P362" s="4"/>
      <c r="Q362" s="5">
        <f t="shared" si="16"/>
      </c>
      <c r="R362" s="4"/>
      <c r="S362" s="5">
        <f>IF($B362="","",$B362&amp;"-"&amp;COUNTIFS($B$2:$B362,$B362))</f>
      </c>
      <c r="T362" s="5">
        <f t="shared" si="17"/>
        <v>0</v>
      </c>
    </row>
    <row r="363" ht="27.75" customHeight="1" spans="1:20" x14ac:dyDescent="0.25">
      <c r="A363" s="2"/>
      <c r="B363" s="2"/>
      <c r="C363" s="7">
        <f>IF($B363="","",IFERROR(INDEX('Meetings (MOM)'!$B$2:$B$201,MATCH($B363,'Meetings (MOM)'!$A$2:$A$201,0)),""))</f>
      </c>
      <c r="D363" s="5">
        <f>IF($B363="","",IFERROR(INDEX('Meetings (MOM)'!$C$2:$C$201,MATCH($B363,'Meetings (MOM)'!$A$2:$A$201,0)),""))</f>
      </c>
      <c r="E363" s="4"/>
      <c r="F363" s="2"/>
      <c r="G363" s="2"/>
      <c r="H363" s="2"/>
      <c r="I363" s="8"/>
      <c r="J363" s="8"/>
      <c r="K363" s="8"/>
      <c r="L363" s="2"/>
      <c r="M363" s="9"/>
      <c r="N363" s="8"/>
      <c r="O363" s="10">
        <f t="shared" si="15"/>
      </c>
      <c r="P363" s="4"/>
      <c r="Q363" s="5">
        <f t="shared" si="16"/>
      </c>
      <c r="R363" s="4"/>
      <c r="S363" s="5">
        <f>IF($B363="","",$B363&amp;"-"&amp;COUNTIFS($B$2:$B363,$B363))</f>
      </c>
      <c r="T363" s="5">
        <f t="shared" si="17"/>
        <v>0</v>
      </c>
    </row>
    <row r="364" ht="27.75" customHeight="1" spans="1:20" x14ac:dyDescent="0.25">
      <c r="A364" s="2"/>
      <c r="B364" s="2"/>
      <c r="C364" s="7">
        <f>IF($B364="","",IFERROR(INDEX('Meetings (MOM)'!$B$2:$B$201,MATCH($B364,'Meetings (MOM)'!$A$2:$A$201,0)),""))</f>
      </c>
      <c r="D364" s="5">
        <f>IF($B364="","",IFERROR(INDEX('Meetings (MOM)'!$C$2:$C$201,MATCH($B364,'Meetings (MOM)'!$A$2:$A$201,0)),""))</f>
      </c>
      <c r="E364" s="4"/>
      <c r="F364" s="2"/>
      <c r="G364" s="2"/>
      <c r="H364" s="2"/>
      <c r="I364" s="8"/>
      <c r="J364" s="8"/>
      <c r="K364" s="8"/>
      <c r="L364" s="2"/>
      <c r="M364" s="9"/>
      <c r="N364" s="8"/>
      <c r="O364" s="10">
        <f t="shared" si="15"/>
      </c>
      <c r="P364" s="4"/>
      <c r="Q364" s="5">
        <f t="shared" si="16"/>
      </c>
      <c r="R364" s="4"/>
      <c r="S364" s="5">
        <f>IF($B364="","",$B364&amp;"-"&amp;COUNTIFS($B$2:$B364,$B364))</f>
      </c>
      <c r="T364" s="5">
        <f t="shared" si="17"/>
        <v>0</v>
      </c>
    </row>
    <row r="365" ht="27.75" customHeight="1" spans="1:20" x14ac:dyDescent="0.25">
      <c r="A365" s="2"/>
      <c r="B365" s="2"/>
      <c r="C365" s="7">
        <f>IF($B365="","",IFERROR(INDEX('Meetings (MOM)'!$B$2:$B$201,MATCH($B365,'Meetings (MOM)'!$A$2:$A$201,0)),""))</f>
      </c>
      <c r="D365" s="5">
        <f>IF($B365="","",IFERROR(INDEX('Meetings (MOM)'!$C$2:$C$201,MATCH($B365,'Meetings (MOM)'!$A$2:$A$201,0)),""))</f>
      </c>
      <c r="E365" s="4"/>
      <c r="F365" s="2"/>
      <c r="G365" s="2"/>
      <c r="H365" s="2"/>
      <c r="I365" s="8"/>
      <c r="J365" s="8"/>
      <c r="K365" s="8"/>
      <c r="L365" s="2"/>
      <c r="M365" s="9"/>
      <c r="N365" s="8"/>
      <c r="O365" s="10">
        <f t="shared" si="15"/>
      </c>
      <c r="P365" s="4"/>
      <c r="Q365" s="5">
        <f t="shared" si="16"/>
      </c>
      <c r="R365" s="4"/>
      <c r="S365" s="5">
        <f>IF($B365="","",$B365&amp;"-"&amp;COUNTIFS($B$2:$B365,$B365))</f>
      </c>
      <c r="T365" s="5">
        <f t="shared" si="17"/>
        <v>0</v>
      </c>
    </row>
    <row r="366" ht="27.75" customHeight="1" spans="1:20" x14ac:dyDescent="0.25">
      <c r="A366" s="2"/>
      <c r="B366" s="2"/>
      <c r="C366" s="7">
        <f>IF($B366="","",IFERROR(INDEX('Meetings (MOM)'!$B$2:$B$201,MATCH($B366,'Meetings (MOM)'!$A$2:$A$201,0)),""))</f>
      </c>
      <c r="D366" s="5">
        <f>IF($B366="","",IFERROR(INDEX('Meetings (MOM)'!$C$2:$C$201,MATCH($B366,'Meetings (MOM)'!$A$2:$A$201,0)),""))</f>
      </c>
      <c r="E366" s="4"/>
      <c r="F366" s="2"/>
      <c r="G366" s="2"/>
      <c r="H366" s="2"/>
      <c r="I366" s="8"/>
      <c r="J366" s="8"/>
      <c r="K366" s="8"/>
      <c r="L366" s="2"/>
      <c r="M366" s="9"/>
      <c r="N366" s="8"/>
      <c r="O366" s="10">
        <f t="shared" si="15"/>
      </c>
      <c r="P366" s="4"/>
      <c r="Q366" s="5">
        <f t="shared" si="16"/>
      </c>
      <c r="R366" s="4"/>
      <c r="S366" s="5">
        <f>IF($B366="","",$B366&amp;"-"&amp;COUNTIFS($B$2:$B366,$B366))</f>
      </c>
      <c r="T366" s="5">
        <f t="shared" si="17"/>
        <v>0</v>
      </c>
    </row>
    <row r="367" ht="27.75" customHeight="1" spans="1:20" x14ac:dyDescent="0.25">
      <c r="A367" s="2"/>
      <c r="B367" s="2"/>
      <c r="C367" s="7">
        <f>IF($B367="","",IFERROR(INDEX('Meetings (MOM)'!$B$2:$B$201,MATCH($B367,'Meetings (MOM)'!$A$2:$A$201,0)),""))</f>
      </c>
      <c r="D367" s="5">
        <f>IF($B367="","",IFERROR(INDEX('Meetings (MOM)'!$C$2:$C$201,MATCH($B367,'Meetings (MOM)'!$A$2:$A$201,0)),""))</f>
      </c>
      <c r="E367" s="4"/>
      <c r="F367" s="2"/>
      <c r="G367" s="2"/>
      <c r="H367" s="2"/>
      <c r="I367" s="8"/>
      <c r="J367" s="8"/>
      <c r="K367" s="8"/>
      <c r="L367" s="2"/>
      <c r="M367" s="9"/>
      <c r="N367" s="8"/>
      <c r="O367" s="10">
        <f t="shared" si="15"/>
      </c>
      <c r="P367" s="4"/>
      <c r="Q367" s="5">
        <f t="shared" si="16"/>
      </c>
      <c r="R367" s="4"/>
      <c r="S367" s="5">
        <f>IF($B367="","",$B367&amp;"-"&amp;COUNTIFS($B$2:$B367,$B367))</f>
      </c>
      <c r="T367" s="5">
        <f t="shared" si="17"/>
        <v>0</v>
      </c>
    </row>
    <row r="368" ht="27.75" customHeight="1" spans="1:20" x14ac:dyDescent="0.25">
      <c r="A368" s="2"/>
      <c r="B368" s="2"/>
      <c r="C368" s="7">
        <f>IF($B368="","",IFERROR(INDEX('Meetings (MOM)'!$B$2:$B$201,MATCH($B368,'Meetings (MOM)'!$A$2:$A$201,0)),""))</f>
      </c>
      <c r="D368" s="5">
        <f>IF($B368="","",IFERROR(INDEX('Meetings (MOM)'!$C$2:$C$201,MATCH($B368,'Meetings (MOM)'!$A$2:$A$201,0)),""))</f>
      </c>
      <c r="E368" s="4"/>
      <c r="F368" s="2"/>
      <c r="G368" s="2"/>
      <c r="H368" s="2"/>
      <c r="I368" s="8"/>
      <c r="J368" s="8"/>
      <c r="K368" s="8"/>
      <c r="L368" s="2"/>
      <c r="M368" s="9"/>
      <c r="N368" s="8"/>
      <c r="O368" s="10">
        <f t="shared" si="15"/>
      </c>
      <c r="P368" s="4"/>
      <c r="Q368" s="5">
        <f t="shared" si="16"/>
      </c>
      <c r="R368" s="4"/>
      <c r="S368" s="5">
        <f>IF($B368="","",$B368&amp;"-"&amp;COUNTIFS($B$2:$B368,$B368))</f>
      </c>
      <c r="T368" s="5">
        <f t="shared" si="17"/>
        <v>0</v>
      </c>
    </row>
    <row r="369" ht="27.75" customHeight="1" spans="1:20" x14ac:dyDescent="0.25">
      <c r="A369" s="2"/>
      <c r="B369" s="2"/>
      <c r="C369" s="7">
        <f>IF($B369="","",IFERROR(INDEX('Meetings (MOM)'!$B$2:$B$201,MATCH($B369,'Meetings (MOM)'!$A$2:$A$201,0)),""))</f>
      </c>
      <c r="D369" s="5">
        <f>IF($B369="","",IFERROR(INDEX('Meetings (MOM)'!$C$2:$C$201,MATCH($B369,'Meetings (MOM)'!$A$2:$A$201,0)),""))</f>
      </c>
      <c r="E369" s="4"/>
      <c r="F369" s="2"/>
      <c r="G369" s="2"/>
      <c r="H369" s="2"/>
      <c r="I369" s="8"/>
      <c r="J369" s="8"/>
      <c r="K369" s="8"/>
      <c r="L369" s="2"/>
      <c r="M369" s="9"/>
      <c r="N369" s="8"/>
      <c r="O369" s="10">
        <f t="shared" si="15"/>
      </c>
      <c r="P369" s="4"/>
      <c r="Q369" s="5">
        <f t="shared" si="16"/>
      </c>
      <c r="R369" s="4"/>
      <c r="S369" s="5">
        <f>IF($B369="","",$B369&amp;"-"&amp;COUNTIFS($B$2:$B369,$B369))</f>
      </c>
      <c r="T369" s="5">
        <f t="shared" si="17"/>
        <v>0</v>
      </c>
    </row>
    <row r="370" ht="27.75" customHeight="1" spans="1:20" x14ac:dyDescent="0.25">
      <c r="A370" s="2"/>
      <c r="B370" s="2"/>
      <c r="C370" s="7">
        <f>IF($B370="","",IFERROR(INDEX('Meetings (MOM)'!$B$2:$B$201,MATCH($B370,'Meetings (MOM)'!$A$2:$A$201,0)),""))</f>
      </c>
      <c r="D370" s="5">
        <f>IF($B370="","",IFERROR(INDEX('Meetings (MOM)'!$C$2:$C$201,MATCH($B370,'Meetings (MOM)'!$A$2:$A$201,0)),""))</f>
      </c>
      <c r="E370" s="4"/>
      <c r="F370" s="2"/>
      <c r="G370" s="2"/>
      <c r="H370" s="2"/>
      <c r="I370" s="8"/>
      <c r="J370" s="8"/>
      <c r="K370" s="8"/>
      <c r="L370" s="2"/>
      <c r="M370" s="9"/>
      <c r="N370" s="8"/>
      <c r="O370" s="10">
        <f t="shared" si="15"/>
      </c>
      <c r="P370" s="4"/>
      <c r="Q370" s="5">
        <f t="shared" si="16"/>
      </c>
      <c r="R370" s="4"/>
      <c r="S370" s="5">
        <f>IF($B370="","",$B370&amp;"-"&amp;COUNTIFS($B$2:$B370,$B370))</f>
      </c>
      <c r="T370" s="5">
        <f t="shared" si="17"/>
        <v>0</v>
      </c>
    </row>
    <row r="371" ht="27.75" customHeight="1" spans="1:20" x14ac:dyDescent="0.25">
      <c r="A371" s="2"/>
      <c r="B371" s="2"/>
      <c r="C371" s="7">
        <f>IF($B371="","",IFERROR(INDEX('Meetings (MOM)'!$B$2:$B$201,MATCH($B371,'Meetings (MOM)'!$A$2:$A$201,0)),""))</f>
      </c>
      <c r="D371" s="5">
        <f>IF($B371="","",IFERROR(INDEX('Meetings (MOM)'!$C$2:$C$201,MATCH($B371,'Meetings (MOM)'!$A$2:$A$201,0)),""))</f>
      </c>
      <c r="E371" s="4"/>
      <c r="F371" s="2"/>
      <c r="G371" s="2"/>
      <c r="H371" s="2"/>
      <c r="I371" s="8"/>
      <c r="J371" s="8"/>
      <c r="K371" s="8"/>
      <c r="L371" s="2"/>
      <c r="M371" s="9"/>
      <c r="N371" s="8"/>
      <c r="O371" s="10">
        <f t="shared" si="15"/>
      </c>
      <c r="P371" s="4"/>
      <c r="Q371" s="5">
        <f t="shared" si="16"/>
      </c>
      <c r="R371" s="4"/>
      <c r="S371" s="5">
        <f>IF($B371="","",$B371&amp;"-"&amp;COUNTIFS($B$2:$B371,$B371))</f>
      </c>
      <c r="T371" s="5">
        <f t="shared" si="17"/>
        <v>0</v>
      </c>
    </row>
    <row r="372" ht="27.75" customHeight="1" spans="1:20" x14ac:dyDescent="0.25">
      <c r="A372" s="2"/>
      <c r="B372" s="2"/>
      <c r="C372" s="7">
        <f>IF($B372="","",IFERROR(INDEX('Meetings (MOM)'!$B$2:$B$201,MATCH($B372,'Meetings (MOM)'!$A$2:$A$201,0)),""))</f>
      </c>
      <c r="D372" s="5">
        <f>IF($B372="","",IFERROR(INDEX('Meetings (MOM)'!$C$2:$C$201,MATCH($B372,'Meetings (MOM)'!$A$2:$A$201,0)),""))</f>
      </c>
      <c r="E372" s="4"/>
      <c r="F372" s="2"/>
      <c r="G372" s="2"/>
      <c r="H372" s="2"/>
      <c r="I372" s="8"/>
      <c r="J372" s="8"/>
      <c r="K372" s="8"/>
      <c r="L372" s="2"/>
      <c r="M372" s="9"/>
      <c r="N372" s="8"/>
      <c r="O372" s="10">
        <f t="shared" si="15"/>
      </c>
      <c r="P372" s="4"/>
      <c r="Q372" s="5">
        <f t="shared" si="16"/>
      </c>
      <c r="R372" s="4"/>
      <c r="S372" s="5">
        <f>IF($B372="","",$B372&amp;"-"&amp;COUNTIFS($B$2:$B372,$B372))</f>
      </c>
      <c r="T372" s="5">
        <f t="shared" si="17"/>
        <v>0</v>
      </c>
    </row>
    <row r="373" ht="27.75" customHeight="1" spans="1:20" x14ac:dyDescent="0.25">
      <c r="A373" s="2"/>
      <c r="B373" s="2"/>
      <c r="C373" s="7">
        <f>IF($B373="","",IFERROR(INDEX('Meetings (MOM)'!$B$2:$B$201,MATCH($B373,'Meetings (MOM)'!$A$2:$A$201,0)),""))</f>
      </c>
      <c r="D373" s="5">
        <f>IF($B373="","",IFERROR(INDEX('Meetings (MOM)'!$C$2:$C$201,MATCH($B373,'Meetings (MOM)'!$A$2:$A$201,0)),""))</f>
      </c>
      <c r="E373" s="4"/>
      <c r="F373" s="2"/>
      <c r="G373" s="2"/>
      <c r="H373" s="2"/>
      <c r="I373" s="8"/>
      <c r="J373" s="8"/>
      <c r="K373" s="8"/>
      <c r="L373" s="2"/>
      <c r="M373" s="9"/>
      <c r="N373" s="8"/>
      <c r="O373" s="10">
        <f t="shared" si="15"/>
      </c>
      <c r="P373" s="4"/>
      <c r="Q373" s="5">
        <f t="shared" si="16"/>
      </c>
      <c r="R373" s="4"/>
      <c r="S373" s="5">
        <f>IF($B373="","",$B373&amp;"-"&amp;COUNTIFS($B$2:$B373,$B373))</f>
      </c>
      <c r="T373" s="5">
        <f t="shared" si="17"/>
        <v>0</v>
      </c>
    </row>
    <row r="374" ht="27.75" customHeight="1" spans="1:20" x14ac:dyDescent="0.25">
      <c r="A374" s="2"/>
      <c r="B374" s="2"/>
      <c r="C374" s="7">
        <f>IF($B374="","",IFERROR(INDEX('Meetings (MOM)'!$B$2:$B$201,MATCH($B374,'Meetings (MOM)'!$A$2:$A$201,0)),""))</f>
      </c>
      <c r="D374" s="5">
        <f>IF($B374="","",IFERROR(INDEX('Meetings (MOM)'!$C$2:$C$201,MATCH($B374,'Meetings (MOM)'!$A$2:$A$201,0)),""))</f>
      </c>
      <c r="E374" s="4"/>
      <c r="F374" s="2"/>
      <c r="G374" s="2"/>
      <c r="H374" s="2"/>
      <c r="I374" s="8"/>
      <c r="J374" s="8"/>
      <c r="K374" s="8"/>
      <c r="L374" s="2"/>
      <c r="M374" s="9"/>
      <c r="N374" s="8"/>
      <c r="O374" s="10">
        <f t="shared" si="15"/>
      </c>
      <c r="P374" s="4"/>
      <c r="Q374" s="5">
        <f t="shared" si="16"/>
      </c>
      <c r="R374" s="4"/>
      <c r="S374" s="5">
        <f>IF($B374="","",$B374&amp;"-"&amp;COUNTIFS($B$2:$B374,$B374))</f>
      </c>
      <c r="T374" s="5">
        <f t="shared" si="17"/>
        <v>0</v>
      </c>
    </row>
    <row r="375" ht="27.75" customHeight="1" spans="1:20" x14ac:dyDescent="0.25">
      <c r="A375" s="2"/>
      <c r="B375" s="2"/>
      <c r="C375" s="7">
        <f>IF($B375="","",IFERROR(INDEX('Meetings (MOM)'!$B$2:$B$201,MATCH($B375,'Meetings (MOM)'!$A$2:$A$201,0)),""))</f>
      </c>
      <c r="D375" s="5">
        <f>IF($B375="","",IFERROR(INDEX('Meetings (MOM)'!$C$2:$C$201,MATCH($B375,'Meetings (MOM)'!$A$2:$A$201,0)),""))</f>
      </c>
      <c r="E375" s="4"/>
      <c r="F375" s="2"/>
      <c r="G375" s="2"/>
      <c r="H375" s="2"/>
      <c r="I375" s="8"/>
      <c r="J375" s="8"/>
      <c r="K375" s="8"/>
      <c r="L375" s="2"/>
      <c r="M375" s="9"/>
      <c r="N375" s="8"/>
      <c r="O375" s="10">
        <f t="shared" si="15"/>
      </c>
      <c r="P375" s="4"/>
      <c r="Q375" s="5">
        <f t="shared" si="16"/>
      </c>
      <c r="R375" s="4"/>
      <c r="S375" s="5">
        <f>IF($B375="","",$B375&amp;"-"&amp;COUNTIFS($B$2:$B375,$B375))</f>
      </c>
      <c r="T375" s="5">
        <f t="shared" si="17"/>
        <v>0</v>
      </c>
    </row>
    <row r="376" ht="27.75" customHeight="1" spans="1:20" x14ac:dyDescent="0.25">
      <c r="A376" s="2"/>
      <c r="B376" s="2"/>
      <c r="C376" s="7">
        <f>IF($B376="","",IFERROR(INDEX('Meetings (MOM)'!$B$2:$B$201,MATCH($B376,'Meetings (MOM)'!$A$2:$A$201,0)),""))</f>
      </c>
      <c r="D376" s="5">
        <f>IF($B376="","",IFERROR(INDEX('Meetings (MOM)'!$C$2:$C$201,MATCH($B376,'Meetings (MOM)'!$A$2:$A$201,0)),""))</f>
      </c>
      <c r="E376" s="4"/>
      <c r="F376" s="2"/>
      <c r="G376" s="2"/>
      <c r="H376" s="2"/>
      <c r="I376" s="8"/>
      <c r="J376" s="8"/>
      <c r="K376" s="8"/>
      <c r="L376" s="2"/>
      <c r="M376" s="9"/>
      <c r="N376" s="8"/>
      <c r="O376" s="10">
        <f t="shared" si="15"/>
      </c>
      <c r="P376" s="4"/>
      <c r="Q376" s="5">
        <f t="shared" si="16"/>
      </c>
      <c r="R376" s="4"/>
      <c r="S376" s="5">
        <f>IF($B376="","",$B376&amp;"-"&amp;COUNTIFS($B$2:$B376,$B376))</f>
      </c>
      <c r="T376" s="5">
        <f t="shared" si="17"/>
        <v>0</v>
      </c>
    </row>
    <row r="377" ht="27.75" customHeight="1" spans="1:20" x14ac:dyDescent="0.25">
      <c r="A377" s="2"/>
      <c r="B377" s="2"/>
      <c r="C377" s="7">
        <f>IF($B377="","",IFERROR(INDEX('Meetings (MOM)'!$B$2:$B$201,MATCH($B377,'Meetings (MOM)'!$A$2:$A$201,0)),""))</f>
      </c>
      <c r="D377" s="5">
        <f>IF($B377="","",IFERROR(INDEX('Meetings (MOM)'!$C$2:$C$201,MATCH($B377,'Meetings (MOM)'!$A$2:$A$201,0)),""))</f>
      </c>
      <c r="E377" s="4"/>
      <c r="F377" s="2"/>
      <c r="G377" s="2"/>
      <c r="H377" s="2"/>
      <c r="I377" s="8"/>
      <c r="J377" s="8"/>
      <c r="K377" s="8"/>
      <c r="L377" s="2"/>
      <c r="M377" s="9"/>
      <c r="N377" s="8"/>
      <c r="O377" s="10">
        <f t="shared" si="15"/>
      </c>
      <c r="P377" s="4"/>
      <c r="Q377" s="5">
        <f t="shared" si="16"/>
      </c>
      <c r="R377" s="4"/>
      <c r="S377" s="5">
        <f>IF($B377="","",$B377&amp;"-"&amp;COUNTIFS($B$2:$B377,$B377))</f>
      </c>
      <c r="T377" s="5">
        <f t="shared" si="17"/>
        <v>0</v>
      </c>
    </row>
    <row r="378" ht="27.75" customHeight="1" spans="1:20" x14ac:dyDescent="0.25">
      <c r="A378" s="2"/>
      <c r="B378" s="2"/>
      <c r="C378" s="7">
        <f>IF($B378="","",IFERROR(INDEX('Meetings (MOM)'!$B$2:$B$201,MATCH($B378,'Meetings (MOM)'!$A$2:$A$201,0)),""))</f>
      </c>
      <c r="D378" s="5">
        <f>IF($B378="","",IFERROR(INDEX('Meetings (MOM)'!$C$2:$C$201,MATCH($B378,'Meetings (MOM)'!$A$2:$A$201,0)),""))</f>
      </c>
      <c r="E378" s="4"/>
      <c r="F378" s="2"/>
      <c r="G378" s="2"/>
      <c r="H378" s="2"/>
      <c r="I378" s="8"/>
      <c r="J378" s="8"/>
      <c r="K378" s="8"/>
      <c r="L378" s="2"/>
      <c r="M378" s="9"/>
      <c r="N378" s="8"/>
      <c r="O378" s="10">
        <f t="shared" si="15"/>
      </c>
      <c r="P378" s="4"/>
      <c r="Q378" s="5">
        <f t="shared" si="16"/>
      </c>
      <c r="R378" s="4"/>
      <c r="S378" s="5">
        <f>IF($B378="","",$B378&amp;"-"&amp;COUNTIFS($B$2:$B378,$B378))</f>
      </c>
      <c r="T378" s="5">
        <f t="shared" si="17"/>
        <v>0</v>
      </c>
    </row>
    <row r="379" ht="27.75" customHeight="1" spans="1:20" x14ac:dyDescent="0.25">
      <c r="A379" s="2"/>
      <c r="B379" s="2"/>
      <c r="C379" s="7">
        <f>IF($B379="","",IFERROR(INDEX('Meetings (MOM)'!$B$2:$B$201,MATCH($B379,'Meetings (MOM)'!$A$2:$A$201,0)),""))</f>
      </c>
      <c r="D379" s="5">
        <f>IF($B379="","",IFERROR(INDEX('Meetings (MOM)'!$C$2:$C$201,MATCH($B379,'Meetings (MOM)'!$A$2:$A$201,0)),""))</f>
      </c>
      <c r="E379" s="4"/>
      <c r="F379" s="2"/>
      <c r="G379" s="2"/>
      <c r="H379" s="2"/>
      <c r="I379" s="8"/>
      <c r="J379" s="8"/>
      <c r="K379" s="8"/>
      <c r="L379" s="2"/>
      <c r="M379" s="9"/>
      <c r="N379" s="8"/>
      <c r="O379" s="10">
        <f t="shared" si="15"/>
      </c>
      <c r="P379" s="4"/>
      <c r="Q379" s="5">
        <f t="shared" si="16"/>
      </c>
      <c r="R379" s="4"/>
      <c r="S379" s="5">
        <f>IF($B379="","",$B379&amp;"-"&amp;COUNTIFS($B$2:$B379,$B379))</f>
      </c>
      <c r="T379" s="5">
        <f t="shared" si="17"/>
        <v>0</v>
      </c>
    </row>
    <row r="380" ht="27.75" customHeight="1" spans="1:20" x14ac:dyDescent="0.25">
      <c r="A380" s="2"/>
      <c r="B380" s="2"/>
      <c r="C380" s="7">
        <f>IF($B380="","",IFERROR(INDEX('Meetings (MOM)'!$B$2:$B$201,MATCH($B380,'Meetings (MOM)'!$A$2:$A$201,0)),""))</f>
      </c>
      <c r="D380" s="5">
        <f>IF($B380="","",IFERROR(INDEX('Meetings (MOM)'!$C$2:$C$201,MATCH($B380,'Meetings (MOM)'!$A$2:$A$201,0)),""))</f>
      </c>
      <c r="E380" s="4"/>
      <c r="F380" s="2"/>
      <c r="G380" s="2"/>
      <c r="H380" s="2"/>
      <c r="I380" s="8"/>
      <c r="J380" s="8"/>
      <c r="K380" s="8"/>
      <c r="L380" s="2"/>
      <c r="M380" s="9"/>
      <c r="N380" s="8"/>
      <c r="O380" s="10">
        <f t="shared" si="15"/>
      </c>
      <c r="P380" s="4"/>
      <c r="Q380" s="5">
        <f t="shared" si="16"/>
      </c>
      <c r="R380" s="4"/>
      <c r="S380" s="5">
        <f>IF($B380="","",$B380&amp;"-"&amp;COUNTIFS($B$2:$B380,$B380))</f>
      </c>
      <c r="T380" s="5">
        <f t="shared" si="17"/>
        <v>0</v>
      </c>
    </row>
    <row r="381" ht="27.75" customHeight="1" spans="1:20" x14ac:dyDescent="0.25">
      <c r="A381" s="2"/>
      <c r="B381" s="2"/>
      <c r="C381" s="7">
        <f>IF($B381="","",IFERROR(INDEX('Meetings (MOM)'!$B$2:$B$201,MATCH($B381,'Meetings (MOM)'!$A$2:$A$201,0)),""))</f>
      </c>
      <c r="D381" s="5">
        <f>IF($B381="","",IFERROR(INDEX('Meetings (MOM)'!$C$2:$C$201,MATCH($B381,'Meetings (MOM)'!$A$2:$A$201,0)),""))</f>
      </c>
      <c r="E381" s="4"/>
      <c r="F381" s="2"/>
      <c r="G381" s="2"/>
      <c r="H381" s="2"/>
      <c r="I381" s="8"/>
      <c r="J381" s="8"/>
      <c r="K381" s="8"/>
      <c r="L381" s="2"/>
      <c r="M381" s="9"/>
      <c r="N381" s="8"/>
      <c r="O381" s="10">
        <f t="shared" si="15"/>
      </c>
      <c r="P381" s="4"/>
      <c r="Q381" s="5">
        <f t="shared" si="16"/>
      </c>
      <c r="R381" s="4"/>
      <c r="S381" s="5">
        <f>IF($B381="","",$B381&amp;"-"&amp;COUNTIFS($B$2:$B381,$B381))</f>
      </c>
      <c r="T381" s="5">
        <f t="shared" si="17"/>
        <v>0</v>
      </c>
    </row>
    <row r="382" ht="27.75" customHeight="1" spans="1:20" x14ac:dyDescent="0.25">
      <c r="A382" s="2"/>
      <c r="B382" s="2"/>
      <c r="C382" s="7">
        <f>IF($B382="","",IFERROR(INDEX('Meetings (MOM)'!$B$2:$B$201,MATCH($B382,'Meetings (MOM)'!$A$2:$A$201,0)),""))</f>
      </c>
      <c r="D382" s="5">
        <f>IF($B382="","",IFERROR(INDEX('Meetings (MOM)'!$C$2:$C$201,MATCH($B382,'Meetings (MOM)'!$A$2:$A$201,0)),""))</f>
      </c>
      <c r="E382" s="4"/>
      <c r="F382" s="2"/>
      <c r="G382" s="2"/>
      <c r="H382" s="2"/>
      <c r="I382" s="8"/>
      <c r="J382" s="8"/>
      <c r="K382" s="8"/>
      <c r="L382" s="2"/>
      <c r="M382" s="9"/>
      <c r="N382" s="8"/>
      <c r="O382" s="10">
        <f t="shared" si="15"/>
      </c>
      <c r="P382" s="4"/>
      <c r="Q382" s="5">
        <f t="shared" si="16"/>
      </c>
      <c r="R382" s="4"/>
      <c r="S382" s="5">
        <f>IF($B382="","",$B382&amp;"-"&amp;COUNTIFS($B$2:$B382,$B382))</f>
      </c>
      <c r="T382" s="5">
        <f t="shared" si="17"/>
        <v>0</v>
      </c>
    </row>
    <row r="383" ht="27.75" customHeight="1" spans="1:20" x14ac:dyDescent="0.25">
      <c r="A383" s="2"/>
      <c r="B383" s="2"/>
      <c r="C383" s="7">
        <f>IF($B383="","",IFERROR(INDEX('Meetings (MOM)'!$B$2:$B$201,MATCH($B383,'Meetings (MOM)'!$A$2:$A$201,0)),""))</f>
      </c>
      <c r="D383" s="5">
        <f>IF($B383="","",IFERROR(INDEX('Meetings (MOM)'!$C$2:$C$201,MATCH($B383,'Meetings (MOM)'!$A$2:$A$201,0)),""))</f>
      </c>
      <c r="E383" s="4"/>
      <c r="F383" s="2"/>
      <c r="G383" s="2"/>
      <c r="H383" s="2"/>
      <c r="I383" s="8"/>
      <c r="J383" s="8"/>
      <c r="K383" s="8"/>
      <c r="L383" s="2"/>
      <c r="M383" s="9"/>
      <c r="N383" s="8"/>
      <c r="O383" s="10">
        <f t="shared" si="15"/>
      </c>
      <c r="P383" s="4"/>
      <c r="Q383" s="5">
        <f t="shared" si="16"/>
      </c>
      <c r="R383" s="4"/>
      <c r="S383" s="5">
        <f>IF($B383="","",$B383&amp;"-"&amp;COUNTIFS($B$2:$B383,$B383))</f>
      </c>
      <c r="T383" s="5">
        <f t="shared" si="17"/>
        <v>0</v>
      </c>
    </row>
    <row r="384" ht="27.75" customHeight="1" spans="1:20" x14ac:dyDescent="0.25">
      <c r="A384" s="2"/>
      <c r="B384" s="2"/>
      <c r="C384" s="7">
        <f>IF($B384="","",IFERROR(INDEX('Meetings (MOM)'!$B$2:$B$201,MATCH($B384,'Meetings (MOM)'!$A$2:$A$201,0)),""))</f>
      </c>
      <c r="D384" s="5">
        <f>IF($B384="","",IFERROR(INDEX('Meetings (MOM)'!$C$2:$C$201,MATCH($B384,'Meetings (MOM)'!$A$2:$A$201,0)),""))</f>
      </c>
      <c r="E384" s="4"/>
      <c r="F384" s="2"/>
      <c r="G384" s="2"/>
      <c r="H384" s="2"/>
      <c r="I384" s="8"/>
      <c r="J384" s="8"/>
      <c r="K384" s="8"/>
      <c r="L384" s="2"/>
      <c r="M384" s="9"/>
      <c r="N384" s="8"/>
      <c r="O384" s="10">
        <f t="shared" si="15"/>
      </c>
      <c r="P384" s="4"/>
      <c r="Q384" s="5">
        <f t="shared" si="16"/>
      </c>
      <c r="R384" s="4"/>
      <c r="S384" s="5">
        <f>IF($B384="","",$B384&amp;"-"&amp;COUNTIFS($B$2:$B384,$B384))</f>
      </c>
      <c r="T384" s="5">
        <f t="shared" si="17"/>
        <v>0</v>
      </c>
    </row>
    <row r="385" ht="27.75" customHeight="1" spans="1:20" x14ac:dyDescent="0.25">
      <c r="A385" s="2"/>
      <c r="B385" s="2"/>
      <c r="C385" s="7">
        <f>IF($B385="","",IFERROR(INDEX('Meetings (MOM)'!$B$2:$B$201,MATCH($B385,'Meetings (MOM)'!$A$2:$A$201,0)),""))</f>
      </c>
      <c r="D385" s="5">
        <f>IF($B385="","",IFERROR(INDEX('Meetings (MOM)'!$C$2:$C$201,MATCH($B385,'Meetings (MOM)'!$A$2:$A$201,0)),""))</f>
      </c>
      <c r="E385" s="4"/>
      <c r="F385" s="2"/>
      <c r="G385" s="2"/>
      <c r="H385" s="2"/>
      <c r="I385" s="8"/>
      <c r="J385" s="8"/>
      <c r="K385" s="8"/>
      <c r="L385" s="2"/>
      <c r="M385" s="9"/>
      <c r="N385" s="8"/>
      <c r="O385" s="10">
        <f t="shared" si="15"/>
      </c>
      <c r="P385" s="4"/>
      <c r="Q385" s="5">
        <f t="shared" si="16"/>
      </c>
      <c r="R385" s="4"/>
      <c r="S385" s="5">
        <f>IF($B385="","",$B385&amp;"-"&amp;COUNTIFS($B$2:$B385,$B385))</f>
      </c>
      <c r="T385" s="5">
        <f t="shared" si="17"/>
        <v>0</v>
      </c>
    </row>
    <row r="386" ht="27.75" customHeight="1" spans="1:20" x14ac:dyDescent="0.25">
      <c r="A386" s="2"/>
      <c r="B386" s="2"/>
      <c r="C386" s="7">
        <f>IF($B386="","",IFERROR(INDEX('Meetings (MOM)'!$B$2:$B$201,MATCH($B386,'Meetings (MOM)'!$A$2:$A$201,0)),""))</f>
      </c>
      <c r="D386" s="5">
        <f>IF($B386="","",IFERROR(INDEX('Meetings (MOM)'!$C$2:$C$201,MATCH($B386,'Meetings (MOM)'!$A$2:$A$201,0)),""))</f>
      </c>
      <c r="E386" s="4"/>
      <c r="F386" s="2"/>
      <c r="G386" s="2"/>
      <c r="H386" s="2"/>
      <c r="I386" s="8"/>
      <c r="J386" s="8"/>
      <c r="K386" s="8"/>
      <c r="L386" s="2"/>
      <c r="M386" s="9"/>
      <c r="N386" s="8"/>
      <c r="O386" s="10">
        <f t="shared" ref="O386:O449" si="18">IF(OR($A386="",IF($K386="",$J386,$K386)=""),"",IF($L386="Completed",IF($N386="","",$N386-IF($K386="",$J386,$K386)),IF($L386="Cancelled","",TODAY()-IF($K386="",$J386,$K386))))</f>
      </c>
      <c r="P386" s="4"/>
      <c r="Q386" s="5">
        <f t="shared" ref="Q386:Q449" si="19">IF($A386="","",IF(OR($L386="Completed",$L386="Cancelled"),"Closed",IF(IF($K386="",$J386,$K386)="","Set deadline",IF(TODAY()&gt;IF($K386="",$J386,$K386),"OVERDUE - Escalate",IF(IF($K386="",$J386,$K386)-TODAY()&lt;=3,"Send Reminder","On Track")))))</f>
      </c>
      <c r="R386" s="4"/>
      <c r="S386" s="5">
        <f>IF($B386="","",$B386&amp;"-"&amp;COUNTIFS($B$2:$B386,$B386))</f>
      </c>
      <c r="T386" s="5">
        <f t="shared" ref="T386:T449" si="20">IF($A386="",0,IF(OR($L386="Completed",$L386="Cancelled"),0,IF(IF($K386="",$J386,$K386)="",0,IF(TODAY()&gt;IF($K386="",$J386,$K386),1,0))))</f>
        <v>0</v>
      </c>
    </row>
    <row r="387" ht="27.75" customHeight="1" spans="1:20" x14ac:dyDescent="0.25">
      <c r="A387" s="2"/>
      <c r="B387" s="2"/>
      <c r="C387" s="7">
        <f>IF($B387="","",IFERROR(INDEX('Meetings (MOM)'!$B$2:$B$201,MATCH($B387,'Meetings (MOM)'!$A$2:$A$201,0)),""))</f>
      </c>
      <c r="D387" s="5">
        <f>IF($B387="","",IFERROR(INDEX('Meetings (MOM)'!$C$2:$C$201,MATCH($B387,'Meetings (MOM)'!$A$2:$A$201,0)),""))</f>
      </c>
      <c r="E387" s="4"/>
      <c r="F387" s="2"/>
      <c r="G387" s="2"/>
      <c r="H387" s="2"/>
      <c r="I387" s="8"/>
      <c r="J387" s="8"/>
      <c r="K387" s="8"/>
      <c r="L387" s="2"/>
      <c r="M387" s="9"/>
      <c r="N387" s="8"/>
      <c r="O387" s="10">
        <f t="shared" si="18"/>
      </c>
      <c r="P387" s="4"/>
      <c r="Q387" s="5">
        <f t="shared" si="19"/>
      </c>
      <c r="R387" s="4"/>
      <c r="S387" s="5">
        <f>IF($B387="","",$B387&amp;"-"&amp;COUNTIFS($B$2:$B387,$B387))</f>
      </c>
      <c r="T387" s="5">
        <f t="shared" si="20"/>
        <v>0</v>
      </c>
    </row>
    <row r="388" ht="27.75" customHeight="1" spans="1:20" x14ac:dyDescent="0.25">
      <c r="A388" s="2"/>
      <c r="B388" s="2"/>
      <c r="C388" s="7">
        <f>IF($B388="","",IFERROR(INDEX('Meetings (MOM)'!$B$2:$B$201,MATCH($B388,'Meetings (MOM)'!$A$2:$A$201,0)),""))</f>
      </c>
      <c r="D388" s="5">
        <f>IF($B388="","",IFERROR(INDEX('Meetings (MOM)'!$C$2:$C$201,MATCH($B388,'Meetings (MOM)'!$A$2:$A$201,0)),""))</f>
      </c>
      <c r="E388" s="4"/>
      <c r="F388" s="2"/>
      <c r="G388" s="2"/>
      <c r="H388" s="2"/>
      <c r="I388" s="8"/>
      <c r="J388" s="8"/>
      <c r="K388" s="8"/>
      <c r="L388" s="2"/>
      <c r="M388" s="9"/>
      <c r="N388" s="8"/>
      <c r="O388" s="10">
        <f t="shared" si="18"/>
      </c>
      <c r="P388" s="4"/>
      <c r="Q388" s="5">
        <f t="shared" si="19"/>
      </c>
      <c r="R388" s="4"/>
      <c r="S388" s="5">
        <f>IF($B388="","",$B388&amp;"-"&amp;COUNTIFS($B$2:$B388,$B388))</f>
      </c>
      <c r="T388" s="5">
        <f t="shared" si="20"/>
        <v>0</v>
      </c>
    </row>
    <row r="389" ht="27.75" customHeight="1" spans="1:20" x14ac:dyDescent="0.25">
      <c r="A389" s="2"/>
      <c r="B389" s="2"/>
      <c r="C389" s="7">
        <f>IF($B389="","",IFERROR(INDEX('Meetings (MOM)'!$B$2:$B$201,MATCH($B389,'Meetings (MOM)'!$A$2:$A$201,0)),""))</f>
      </c>
      <c r="D389" s="5">
        <f>IF($B389="","",IFERROR(INDEX('Meetings (MOM)'!$C$2:$C$201,MATCH($B389,'Meetings (MOM)'!$A$2:$A$201,0)),""))</f>
      </c>
      <c r="E389" s="4"/>
      <c r="F389" s="2"/>
      <c r="G389" s="2"/>
      <c r="H389" s="2"/>
      <c r="I389" s="8"/>
      <c r="J389" s="8"/>
      <c r="K389" s="8"/>
      <c r="L389" s="2"/>
      <c r="M389" s="9"/>
      <c r="N389" s="8"/>
      <c r="O389" s="10">
        <f t="shared" si="18"/>
      </c>
      <c r="P389" s="4"/>
      <c r="Q389" s="5">
        <f t="shared" si="19"/>
      </c>
      <c r="R389" s="4"/>
      <c r="S389" s="5">
        <f>IF($B389="","",$B389&amp;"-"&amp;COUNTIFS($B$2:$B389,$B389))</f>
      </c>
      <c r="T389" s="5">
        <f t="shared" si="20"/>
        <v>0</v>
      </c>
    </row>
    <row r="390" ht="27.75" customHeight="1" spans="1:20" x14ac:dyDescent="0.25">
      <c r="A390" s="2"/>
      <c r="B390" s="2"/>
      <c r="C390" s="7">
        <f>IF($B390="","",IFERROR(INDEX('Meetings (MOM)'!$B$2:$B$201,MATCH($B390,'Meetings (MOM)'!$A$2:$A$201,0)),""))</f>
      </c>
      <c r="D390" s="5">
        <f>IF($B390="","",IFERROR(INDEX('Meetings (MOM)'!$C$2:$C$201,MATCH($B390,'Meetings (MOM)'!$A$2:$A$201,0)),""))</f>
      </c>
      <c r="E390" s="4"/>
      <c r="F390" s="2"/>
      <c r="G390" s="2"/>
      <c r="H390" s="2"/>
      <c r="I390" s="8"/>
      <c r="J390" s="8"/>
      <c r="K390" s="8"/>
      <c r="L390" s="2"/>
      <c r="M390" s="9"/>
      <c r="N390" s="8"/>
      <c r="O390" s="10">
        <f t="shared" si="18"/>
      </c>
      <c r="P390" s="4"/>
      <c r="Q390" s="5">
        <f t="shared" si="19"/>
      </c>
      <c r="R390" s="4"/>
      <c r="S390" s="5">
        <f>IF($B390="","",$B390&amp;"-"&amp;COUNTIFS($B$2:$B390,$B390))</f>
      </c>
      <c r="T390" s="5">
        <f t="shared" si="20"/>
        <v>0</v>
      </c>
    </row>
    <row r="391" ht="27.75" customHeight="1" spans="1:20" x14ac:dyDescent="0.25">
      <c r="A391" s="2"/>
      <c r="B391" s="2"/>
      <c r="C391" s="7">
        <f>IF($B391="","",IFERROR(INDEX('Meetings (MOM)'!$B$2:$B$201,MATCH($B391,'Meetings (MOM)'!$A$2:$A$201,0)),""))</f>
      </c>
      <c r="D391" s="5">
        <f>IF($B391="","",IFERROR(INDEX('Meetings (MOM)'!$C$2:$C$201,MATCH($B391,'Meetings (MOM)'!$A$2:$A$201,0)),""))</f>
      </c>
      <c r="E391" s="4"/>
      <c r="F391" s="2"/>
      <c r="G391" s="2"/>
      <c r="H391" s="2"/>
      <c r="I391" s="8"/>
      <c r="J391" s="8"/>
      <c r="K391" s="8"/>
      <c r="L391" s="2"/>
      <c r="M391" s="9"/>
      <c r="N391" s="8"/>
      <c r="O391" s="10">
        <f t="shared" si="18"/>
      </c>
      <c r="P391" s="4"/>
      <c r="Q391" s="5">
        <f t="shared" si="19"/>
      </c>
      <c r="R391" s="4"/>
      <c r="S391" s="5">
        <f>IF($B391="","",$B391&amp;"-"&amp;COUNTIFS($B$2:$B391,$B391))</f>
      </c>
      <c r="T391" s="5">
        <f t="shared" si="20"/>
        <v>0</v>
      </c>
    </row>
    <row r="392" ht="27.75" customHeight="1" spans="1:20" x14ac:dyDescent="0.25">
      <c r="A392" s="2"/>
      <c r="B392" s="2"/>
      <c r="C392" s="7">
        <f>IF($B392="","",IFERROR(INDEX('Meetings (MOM)'!$B$2:$B$201,MATCH($B392,'Meetings (MOM)'!$A$2:$A$201,0)),""))</f>
      </c>
      <c r="D392" s="5">
        <f>IF($B392="","",IFERROR(INDEX('Meetings (MOM)'!$C$2:$C$201,MATCH($B392,'Meetings (MOM)'!$A$2:$A$201,0)),""))</f>
      </c>
      <c r="E392" s="4"/>
      <c r="F392" s="2"/>
      <c r="G392" s="2"/>
      <c r="H392" s="2"/>
      <c r="I392" s="8"/>
      <c r="J392" s="8"/>
      <c r="K392" s="8"/>
      <c r="L392" s="2"/>
      <c r="M392" s="9"/>
      <c r="N392" s="8"/>
      <c r="O392" s="10">
        <f t="shared" si="18"/>
      </c>
      <c r="P392" s="4"/>
      <c r="Q392" s="5">
        <f t="shared" si="19"/>
      </c>
      <c r="R392" s="4"/>
      <c r="S392" s="5">
        <f>IF($B392="","",$B392&amp;"-"&amp;COUNTIFS($B$2:$B392,$B392))</f>
      </c>
      <c r="T392" s="5">
        <f t="shared" si="20"/>
        <v>0</v>
      </c>
    </row>
    <row r="393" ht="27.75" customHeight="1" spans="1:20" x14ac:dyDescent="0.25">
      <c r="A393" s="2"/>
      <c r="B393" s="2"/>
      <c r="C393" s="7">
        <f>IF($B393="","",IFERROR(INDEX('Meetings (MOM)'!$B$2:$B$201,MATCH($B393,'Meetings (MOM)'!$A$2:$A$201,0)),""))</f>
      </c>
      <c r="D393" s="5">
        <f>IF($B393="","",IFERROR(INDEX('Meetings (MOM)'!$C$2:$C$201,MATCH($B393,'Meetings (MOM)'!$A$2:$A$201,0)),""))</f>
      </c>
      <c r="E393" s="4"/>
      <c r="F393" s="2"/>
      <c r="G393" s="2"/>
      <c r="H393" s="2"/>
      <c r="I393" s="8"/>
      <c r="J393" s="8"/>
      <c r="K393" s="8"/>
      <c r="L393" s="2"/>
      <c r="M393" s="9"/>
      <c r="N393" s="8"/>
      <c r="O393" s="10">
        <f t="shared" si="18"/>
      </c>
      <c r="P393" s="4"/>
      <c r="Q393" s="5">
        <f t="shared" si="19"/>
      </c>
      <c r="R393" s="4"/>
      <c r="S393" s="5">
        <f>IF($B393="","",$B393&amp;"-"&amp;COUNTIFS($B$2:$B393,$B393))</f>
      </c>
      <c r="T393" s="5">
        <f t="shared" si="20"/>
        <v>0</v>
      </c>
    </row>
    <row r="394" ht="27.75" customHeight="1" spans="1:20" x14ac:dyDescent="0.25">
      <c r="A394" s="2"/>
      <c r="B394" s="2"/>
      <c r="C394" s="7">
        <f>IF($B394="","",IFERROR(INDEX('Meetings (MOM)'!$B$2:$B$201,MATCH($B394,'Meetings (MOM)'!$A$2:$A$201,0)),""))</f>
      </c>
      <c r="D394" s="5">
        <f>IF($B394="","",IFERROR(INDEX('Meetings (MOM)'!$C$2:$C$201,MATCH($B394,'Meetings (MOM)'!$A$2:$A$201,0)),""))</f>
      </c>
      <c r="E394" s="4"/>
      <c r="F394" s="2"/>
      <c r="G394" s="2"/>
      <c r="H394" s="2"/>
      <c r="I394" s="8"/>
      <c r="J394" s="8"/>
      <c r="K394" s="8"/>
      <c r="L394" s="2"/>
      <c r="M394" s="9"/>
      <c r="N394" s="8"/>
      <c r="O394" s="10">
        <f t="shared" si="18"/>
      </c>
      <c r="P394" s="4"/>
      <c r="Q394" s="5">
        <f t="shared" si="19"/>
      </c>
      <c r="R394" s="4"/>
      <c r="S394" s="5">
        <f>IF($B394="","",$B394&amp;"-"&amp;COUNTIFS($B$2:$B394,$B394))</f>
      </c>
      <c r="T394" s="5">
        <f t="shared" si="20"/>
        <v>0</v>
      </c>
    </row>
    <row r="395" ht="27.75" customHeight="1" spans="1:20" x14ac:dyDescent="0.25">
      <c r="A395" s="2"/>
      <c r="B395" s="2"/>
      <c r="C395" s="7">
        <f>IF($B395="","",IFERROR(INDEX('Meetings (MOM)'!$B$2:$B$201,MATCH($B395,'Meetings (MOM)'!$A$2:$A$201,0)),""))</f>
      </c>
      <c r="D395" s="5">
        <f>IF($B395="","",IFERROR(INDEX('Meetings (MOM)'!$C$2:$C$201,MATCH($B395,'Meetings (MOM)'!$A$2:$A$201,0)),""))</f>
      </c>
      <c r="E395" s="4"/>
      <c r="F395" s="2"/>
      <c r="G395" s="2"/>
      <c r="H395" s="2"/>
      <c r="I395" s="8"/>
      <c r="J395" s="8"/>
      <c r="K395" s="8"/>
      <c r="L395" s="2"/>
      <c r="M395" s="9"/>
      <c r="N395" s="8"/>
      <c r="O395" s="10">
        <f t="shared" si="18"/>
      </c>
      <c r="P395" s="4"/>
      <c r="Q395" s="5">
        <f t="shared" si="19"/>
      </c>
      <c r="R395" s="4"/>
      <c r="S395" s="5">
        <f>IF($B395="","",$B395&amp;"-"&amp;COUNTIFS($B$2:$B395,$B395))</f>
      </c>
      <c r="T395" s="5">
        <f t="shared" si="20"/>
        <v>0</v>
      </c>
    </row>
    <row r="396" ht="27.75" customHeight="1" spans="1:20" x14ac:dyDescent="0.25">
      <c r="A396" s="2"/>
      <c r="B396" s="2"/>
      <c r="C396" s="7">
        <f>IF($B396="","",IFERROR(INDEX('Meetings (MOM)'!$B$2:$B$201,MATCH($B396,'Meetings (MOM)'!$A$2:$A$201,0)),""))</f>
      </c>
      <c r="D396" s="5">
        <f>IF($B396="","",IFERROR(INDEX('Meetings (MOM)'!$C$2:$C$201,MATCH($B396,'Meetings (MOM)'!$A$2:$A$201,0)),""))</f>
      </c>
      <c r="E396" s="4"/>
      <c r="F396" s="2"/>
      <c r="G396" s="2"/>
      <c r="H396" s="2"/>
      <c r="I396" s="8"/>
      <c r="J396" s="8"/>
      <c r="K396" s="8"/>
      <c r="L396" s="2"/>
      <c r="M396" s="9"/>
      <c r="N396" s="8"/>
      <c r="O396" s="10">
        <f t="shared" si="18"/>
      </c>
      <c r="P396" s="4"/>
      <c r="Q396" s="5">
        <f t="shared" si="19"/>
      </c>
      <c r="R396" s="4"/>
      <c r="S396" s="5">
        <f>IF($B396="","",$B396&amp;"-"&amp;COUNTIFS($B$2:$B396,$B396))</f>
      </c>
      <c r="T396" s="5">
        <f t="shared" si="20"/>
        <v>0</v>
      </c>
    </row>
    <row r="397" ht="27.75" customHeight="1" spans="1:20" x14ac:dyDescent="0.25">
      <c r="A397" s="2"/>
      <c r="B397" s="2"/>
      <c r="C397" s="7">
        <f>IF($B397="","",IFERROR(INDEX('Meetings (MOM)'!$B$2:$B$201,MATCH($B397,'Meetings (MOM)'!$A$2:$A$201,0)),""))</f>
      </c>
      <c r="D397" s="5">
        <f>IF($B397="","",IFERROR(INDEX('Meetings (MOM)'!$C$2:$C$201,MATCH($B397,'Meetings (MOM)'!$A$2:$A$201,0)),""))</f>
      </c>
      <c r="E397" s="4"/>
      <c r="F397" s="2"/>
      <c r="G397" s="2"/>
      <c r="H397" s="2"/>
      <c r="I397" s="8"/>
      <c r="J397" s="8"/>
      <c r="K397" s="8"/>
      <c r="L397" s="2"/>
      <c r="M397" s="9"/>
      <c r="N397" s="8"/>
      <c r="O397" s="10">
        <f t="shared" si="18"/>
      </c>
      <c r="P397" s="4"/>
      <c r="Q397" s="5">
        <f t="shared" si="19"/>
      </c>
      <c r="R397" s="4"/>
      <c r="S397" s="5">
        <f>IF($B397="","",$B397&amp;"-"&amp;COUNTIFS($B$2:$B397,$B397))</f>
      </c>
      <c r="T397" s="5">
        <f t="shared" si="20"/>
        <v>0</v>
      </c>
    </row>
    <row r="398" ht="27.75" customHeight="1" spans="1:20" x14ac:dyDescent="0.25">
      <c r="A398" s="2"/>
      <c r="B398" s="2"/>
      <c r="C398" s="7">
        <f>IF($B398="","",IFERROR(INDEX('Meetings (MOM)'!$B$2:$B$201,MATCH($B398,'Meetings (MOM)'!$A$2:$A$201,0)),""))</f>
      </c>
      <c r="D398" s="5">
        <f>IF($B398="","",IFERROR(INDEX('Meetings (MOM)'!$C$2:$C$201,MATCH($B398,'Meetings (MOM)'!$A$2:$A$201,0)),""))</f>
      </c>
      <c r="E398" s="4"/>
      <c r="F398" s="2"/>
      <c r="G398" s="2"/>
      <c r="H398" s="2"/>
      <c r="I398" s="8"/>
      <c r="J398" s="8"/>
      <c r="K398" s="8"/>
      <c r="L398" s="2"/>
      <c r="M398" s="9"/>
      <c r="N398" s="8"/>
      <c r="O398" s="10">
        <f t="shared" si="18"/>
      </c>
      <c r="P398" s="4"/>
      <c r="Q398" s="5">
        <f t="shared" si="19"/>
      </c>
      <c r="R398" s="4"/>
      <c r="S398" s="5">
        <f>IF($B398="","",$B398&amp;"-"&amp;COUNTIFS($B$2:$B398,$B398))</f>
      </c>
      <c r="T398" s="5">
        <f t="shared" si="20"/>
        <v>0</v>
      </c>
    </row>
    <row r="399" ht="27.75" customHeight="1" spans="1:20" x14ac:dyDescent="0.25">
      <c r="A399" s="2"/>
      <c r="B399" s="2"/>
      <c r="C399" s="7">
        <f>IF($B399="","",IFERROR(INDEX('Meetings (MOM)'!$B$2:$B$201,MATCH($B399,'Meetings (MOM)'!$A$2:$A$201,0)),""))</f>
      </c>
      <c r="D399" s="5">
        <f>IF($B399="","",IFERROR(INDEX('Meetings (MOM)'!$C$2:$C$201,MATCH($B399,'Meetings (MOM)'!$A$2:$A$201,0)),""))</f>
      </c>
      <c r="E399" s="4"/>
      <c r="F399" s="2"/>
      <c r="G399" s="2"/>
      <c r="H399" s="2"/>
      <c r="I399" s="8"/>
      <c r="J399" s="8"/>
      <c r="K399" s="8"/>
      <c r="L399" s="2"/>
      <c r="M399" s="9"/>
      <c r="N399" s="8"/>
      <c r="O399" s="10">
        <f t="shared" si="18"/>
      </c>
      <c r="P399" s="4"/>
      <c r="Q399" s="5">
        <f t="shared" si="19"/>
      </c>
      <c r="R399" s="4"/>
      <c r="S399" s="5">
        <f>IF($B399="","",$B399&amp;"-"&amp;COUNTIFS($B$2:$B399,$B399))</f>
      </c>
      <c r="T399" s="5">
        <f t="shared" si="20"/>
        <v>0</v>
      </c>
    </row>
    <row r="400" ht="27.75" customHeight="1" spans="1:20" x14ac:dyDescent="0.25">
      <c r="A400" s="2"/>
      <c r="B400" s="2"/>
      <c r="C400" s="7">
        <f>IF($B400="","",IFERROR(INDEX('Meetings (MOM)'!$B$2:$B$201,MATCH($B400,'Meetings (MOM)'!$A$2:$A$201,0)),""))</f>
      </c>
      <c r="D400" s="5">
        <f>IF($B400="","",IFERROR(INDEX('Meetings (MOM)'!$C$2:$C$201,MATCH($B400,'Meetings (MOM)'!$A$2:$A$201,0)),""))</f>
      </c>
      <c r="E400" s="4"/>
      <c r="F400" s="2"/>
      <c r="G400" s="2"/>
      <c r="H400" s="2"/>
      <c r="I400" s="8"/>
      <c r="J400" s="8"/>
      <c r="K400" s="8"/>
      <c r="L400" s="2"/>
      <c r="M400" s="9"/>
      <c r="N400" s="8"/>
      <c r="O400" s="10">
        <f t="shared" si="18"/>
      </c>
      <c r="P400" s="4"/>
      <c r="Q400" s="5">
        <f t="shared" si="19"/>
      </c>
      <c r="R400" s="4"/>
      <c r="S400" s="5">
        <f>IF($B400="","",$B400&amp;"-"&amp;COUNTIFS($B$2:$B400,$B400))</f>
      </c>
      <c r="T400" s="5">
        <f t="shared" si="20"/>
        <v>0</v>
      </c>
    </row>
    <row r="401" ht="27.75" customHeight="1" spans="1:20" x14ac:dyDescent="0.25">
      <c r="A401" s="2"/>
      <c r="B401" s="2"/>
      <c r="C401" s="7">
        <f>IF($B401="","",IFERROR(INDEX('Meetings (MOM)'!$B$2:$B$201,MATCH($B401,'Meetings (MOM)'!$A$2:$A$201,0)),""))</f>
      </c>
      <c r="D401" s="5">
        <f>IF($B401="","",IFERROR(INDEX('Meetings (MOM)'!$C$2:$C$201,MATCH($B401,'Meetings (MOM)'!$A$2:$A$201,0)),""))</f>
      </c>
      <c r="E401" s="4"/>
      <c r="F401" s="2"/>
      <c r="G401" s="2"/>
      <c r="H401" s="2"/>
      <c r="I401" s="8"/>
      <c r="J401" s="8"/>
      <c r="K401" s="8"/>
      <c r="L401" s="2"/>
      <c r="M401" s="9"/>
      <c r="N401" s="8"/>
      <c r="O401" s="10">
        <f t="shared" si="18"/>
      </c>
      <c r="P401" s="4"/>
      <c r="Q401" s="5">
        <f t="shared" si="19"/>
      </c>
      <c r="R401" s="4"/>
      <c r="S401" s="5">
        <f>IF($B401="","",$B401&amp;"-"&amp;COUNTIFS($B$2:$B401,$B401))</f>
      </c>
      <c r="T401" s="5">
        <f t="shared" si="20"/>
        <v>0</v>
      </c>
    </row>
    <row r="402" ht="27.75" customHeight="1" spans="1:20" x14ac:dyDescent="0.25">
      <c r="A402" s="2"/>
      <c r="B402" s="2"/>
      <c r="C402" s="7">
        <f>IF($B402="","",IFERROR(INDEX('Meetings (MOM)'!$B$2:$B$201,MATCH($B402,'Meetings (MOM)'!$A$2:$A$201,0)),""))</f>
      </c>
      <c r="D402" s="5">
        <f>IF($B402="","",IFERROR(INDEX('Meetings (MOM)'!$C$2:$C$201,MATCH($B402,'Meetings (MOM)'!$A$2:$A$201,0)),""))</f>
      </c>
      <c r="E402" s="4"/>
      <c r="F402" s="2"/>
      <c r="G402" s="2"/>
      <c r="H402" s="2"/>
      <c r="I402" s="8"/>
      <c r="J402" s="8"/>
      <c r="K402" s="8"/>
      <c r="L402" s="2"/>
      <c r="M402" s="9"/>
      <c r="N402" s="8"/>
      <c r="O402" s="10">
        <f t="shared" si="18"/>
      </c>
      <c r="P402" s="4"/>
      <c r="Q402" s="5">
        <f t="shared" si="19"/>
      </c>
      <c r="R402" s="4"/>
      <c r="S402" s="5">
        <f>IF($B402="","",$B402&amp;"-"&amp;COUNTIFS($B$2:$B402,$B402))</f>
      </c>
      <c r="T402" s="5">
        <f t="shared" si="20"/>
        <v>0</v>
      </c>
    </row>
    <row r="403" ht="27.75" customHeight="1" spans="1:20" x14ac:dyDescent="0.25">
      <c r="A403" s="2"/>
      <c r="B403" s="2"/>
      <c r="C403" s="7">
        <f>IF($B403="","",IFERROR(INDEX('Meetings (MOM)'!$B$2:$B$201,MATCH($B403,'Meetings (MOM)'!$A$2:$A$201,0)),""))</f>
      </c>
      <c r="D403" s="5">
        <f>IF($B403="","",IFERROR(INDEX('Meetings (MOM)'!$C$2:$C$201,MATCH($B403,'Meetings (MOM)'!$A$2:$A$201,0)),""))</f>
      </c>
      <c r="E403" s="4"/>
      <c r="F403" s="2"/>
      <c r="G403" s="2"/>
      <c r="H403" s="2"/>
      <c r="I403" s="8"/>
      <c r="J403" s="8"/>
      <c r="K403" s="8"/>
      <c r="L403" s="2"/>
      <c r="M403" s="9"/>
      <c r="N403" s="8"/>
      <c r="O403" s="10">
        <f t="shared" si="18"/>
      </c>
      <c r="P403" s="4"/>
      <c r="Q403" s="5">
        <f t="shared" si="19"/>
      </c>
      <c r="R403" s="4"/>
      <c r="S403" s="5">
        <f>IF($B403="","",$B403&amp;"-"&amp;COUNTIFS($B$2:$B403,$B403))</f>
      </c>
      <c r="T403" s="5">
        <f t="shared" si="20"/>
        <v>0</v>
      </c>
    </row>
    <row r="404" ht="27.75" customHeight="1" spans="1:20" x14ac:dyDescent="0.25">
      <c r="A404" s="2"/>
      <c r="B404" s="2"/>
      <c r="C404" s="7">
        <f>IF($B404="","",IFERROR(INDEX('Meetings (MOM)'!$B$2:$B$201,MATCH($B404,'Meetings (MOM)'!$A$2:$A$201,0)),""))</f>
      </c>
      <c r="D404" s="5">
        <f>IF($B404="","",IFERROR(INDEX('Meetings (MOM)'!$C$2:$C$201,MATCH($B404,'Meetings (MOM)'!$A$2:$A$201,0)),""))</f>
      </c>
      <c r="E404" s="4"/>
      <c r="F404" s="2"/>
      <c r="G404" s="2"/>
      <c r="H404" s="2"/>
      <c r="I404" s="8"/>
      <c r="J404" s="8"/>
      <c r="K404" s="8"/>
      <c r="L404" s="2"/>
      <c r="M404" s="9"/>
      <c r="N404" s="8"/>
      <c r="O404" s="10">
        <f t="shared" si="18"/>
      </c>
      <c r="P404" s="4"/>
      <c r="Q404" s="5">
        <f t="shared" si="19"/>
      </c>
      <c r="R404" s="4"/>
      <c r="S404" s="5">
        <f>IF($B404="","",$B404&amp;"-"&amp;COUNTIFS($B$2:$B404,$B404))</f>
      </c>
      <c r="T404" s="5">
        <f t="shared" si="20"/>
        <v>0</v>
      </c>
    </row>
    <row r="405" ht="27.75" customHeight="1" spans="1:20" x14ac:dyDescent="0.25">
      <c r="A405" s="2"/>
      <c r="B405" s="2"/>
      <c r="C405" s="7">
        <f>IF($B405="","",IFERROR(INDEX('Meetings (MOM)'!$B$2:$B$201,MATCH($B405,'Meetings (MOM)'!$A$2:$A$201,0)),""))</f>
      </c>
      <c r="D405" s="5">
        <f>IF($B405="","",IFERROR(INDEX('Meetings (MOM)'!$C$2:$C$201,MATCH($B405,'Meetings (MOM)'!$A$2:$A$201,0)),""))</f>
      </c>
      <c r="E405" s="4"/>
      <c r="F405" s="2"/>
      <c r="G405" s="2"/>
      <c r="H405" s="2"/>
      <c r="I405" s="8"/>
      <c r="J405" s="8"/>
      <c r="K405" s="8"/>
      <c r="L405" s="2"/>
      <c r="M405" s="9"/>
      <c r="N405" s="8"/>
      <c r="O405" s="10">
        <f t="shared" si="18"/>
      </c>
      <c r="P405" s="4"/>
      <c r="Q405" s="5">
        <f t="shared" si="19"/>
      </c>
      <c r="R405" s="4"/>
      <c r="S405" s="5">
        <f>IF($B405="","",$B405&amp;"-"&amp;COUNTIFS($B$2:$B405,$B405))</f>
      </c>
      <c r="T405" s="5">
        <f t="shared" si="20"/>
        <v>0</v>
      </c>
    </row>
    <row r="406" ht="27.75" customHeight="1" spans="1:20" x14ac:dyDescent="0.25">
      <c r="A406" s="2"/>
      <c r="B406" s="2"/>
      <c r="C406" s="7">
        <f>IF($B406="","",IFERROR(INDEX('Meetings (MOM)'!$B$2:$B$201,MATCH($B406,'Meetings (MOM)'!$A$2:$A$201,0)),""))</f>
      </c>
      <c r="D406" s="5">
        <f>IF($B406="","",IFERROR(INDEX('Meetings (MOM)'!$C$2:$C$201,MATCH($B406,'Meetings (MOM)'!$A$2:$A$201,0)),""))</f>
      </c>
      <c r="E406" s="4"/>
      <c r="F406" s="2"/>
      <c r="G406" s="2"/>
      <c r="H406" s="2"/>
      <c r="I406" s="8"/>
      <c r="J406" s="8"/>
      <c r="K406" s="8"/>
      <c r="L406" s="2"/>
      <c r="M406" s="9"/>
      <c r="N406" s="8"/>
      <c r="O406" s="10">
        <f t="shared" si="18"/>
      </c>
      <c r="P406" s="4"/>
      <c r="Q406" s="5">
        <f t="shared" si="19"/>
      </c>
      <c r="R406" s="4"/>
      <c r="S406" s="5">
        <f>IF($B406="","",$B406&amp;"-"&amp;COUNTIFS($B$2:$B406,$B406))</f>
      </c>
      <c r="T406" s="5">
        <f t="shared" si="20"/>
        <v>0</v>
      </c>
    </row>
    <row r="407" ht="27.75" customHeight="1" spans="1:20" x14ac:dyDescent="0.25">
      <c r="A407" s="2"/>
      <c r="B407" s="2"/>
      <c r="C407" s="7">
        <f>IF($B407="","",IFERROR(INDEX('Meetings (MOM)'!$B$2:$B$201,MATCH($B407,'Meetings (MOM)'!$A$2:$A$201,0)),""))</f>
      </c>
      <c r="D407" s="5">
        <f>IF($B407="","",IFERROR(INDEX('Meetings (MOM)'!$C$2:$C$201,MATCH($B407,'Meetings (MOM)'!$A$2:$A$201,0)),""))</f>
      </c>
      <c r="E407" s="4"/>
      <c r="F407" s="2"/>
      <c r="G407" s="2"/>
      <c r="H407" s="2"/>
      <c r="I407" s="8"/>
      <c r="J407" s="8"/>
      <c r="K407" s="8"/>
      <c r="L407" s="2"/>
      <c r="M407" s="9"/>
      <c r="N407" s="8"/>
      <c r="O407" s="10">
        <f t="shared" si="18"/>
      </c>
      <c r="P407" s="4"/>
      <c r="Q407" s="5">
        <f t="shared" si="19"/>
      </c>
      <c r="R407" s="4"/>
      <c r="S407" s="5">
        <f>IF($B407="","",$B407&amp;"-"&amp;COUNTIFS($B$2:$B407,$B407))</f>
      </c>
      <c r="T407" s="5">
        <f t="shared" si="20"/>
        <v>0</v>
      </c>
    </row>
    <row r="408" ht="27.75" customHeight="1" spans="1:20" x14ac:dyDescent="0.25">
      <c r="A408" s="2"/>
      <c r="B408" s="2"/>
      <c r="C408" s="7">
        <f>IF($B408="","",IFERROR(INDEX('Meetings (MOM)'!$B$2:$B$201,MATCH($B408,'Meetings (MOM)'!$A$2:$A$201,0)),""))</f>
      </c>
      <c r="D408" s="5">
        <f>IF($B408="","",IFERROR(INDEX('Meetings (MOM)'!$C$2:$C$201,MATCH($B408,'Meetings (MOM)'!$A$2:$A$201,0)),""))</f>
      </c>
      <c r="E408" s="4"/>
      <c r="F408" s="2"/>
      <c r="G408" s="2"/>
      <c r="H408" s="2"/>
      <c r="I408" s="8"/>
      <c r="J408" s="8"/>
      <c r="K408" s="8"/>
      <c r="L408" s="2"/>
      <c r="M408" s="9"/>
      <c r="N408" s="8"/>
      <c r="O408" s="10">
        <f t="shared" si="18"/>
      </c>
      <c r="P408" s="4"/>
      <c r="Q408" s="5">
        <f t="shared" si="19"/>
      </c>
      <c r="R408" s="4"/>
      <c r="S408" s="5">
        <f>IF($B408="","",$B408&amp;"-"&amp;COUNTIFS($B$2:$B408,$B408))</f>
      </c>
      <c r="T408" s="5">
        <f t="shared" si="20"/>
        <v>0</v>
      </c>
    </row>
    <row r="409" ht="27.75" customHeight="1" spans="1:20" x14ac:dyDescent="0.25">
      <c r="A409" s="2"/>
      <c r="B409" s="2"/>
      <c r="C409" s="7">
        <f>IF($B409="","",IFERROR(INDEX('Meetings (MOM)'!$B$2:$B$201,MATCH($B409,'Meetings (MOM)'!$A$2:$A$201,0)),""))</f>
      </c>
      <c r="D409" s="5">
        <f>IF($B409="","",IFERROR(INDEX('Meetings (MOM)'!$C$2:$C$201,MATCH($B409,'Meetings (MOM)'!$A$2:$A$201,0)),""))</f>
      </c>
      <c r="E409" s="4"/>
      <c r="F409" s="2"/>
      <c r="G409" s="2"/>
      <c r="H409" s="2"/>
      <c r="I409" s="8"/>
      <c r="J409" s="8"/>
      <c r="K409" s="8"/>
      <c r="L409" s="2"/>
      <c r="M409" s="9"/>
      <c r="N409" s="8"/>
      <c r="O409" s="10">
        <f t="shared" si="18"/>
      </c>
      <c r="P409" s="4"/>
      <c r="Q409" s="5">
        <f t="shared" si="19"/>
      </c>
      <c r="R409" s="4"/>
      <c r="S409" s="5">
        <f>IF($B409="","",$B409&amp;"-"&amp;COUNTIFS($B$2:$B409,$B409))</f>
      </c>
      <c r="T409" s="5">
        <f t="shared" si="20"/>
        <v>0</v>
      </c>
    </row>
    <row r="410" ht="27.75" customHeight="1" spans="1:20" x14ac:dyDescent="0.25">
      <c r="A410" s="2"/>
      <c r="B410" s="2"/>
      <c r="C410" s="7">
        <f>IF($B410="","",IFERROR(INDEX('Meetings (MOM)'!$B$2:$B$201,MATCH($B410,'Meetings (MOM)'!$A$2:$A$201,0)),""))</f>
      </c>
      <c r="D410" s="5">
        <f>IF($B410="","",IFERROR(INDEX('Meetings (MOM)'!$C$2:$C$201,MATCH($B410,'Meetings (MOM)'!$A$2:$A$201,0)),""))</f>
      </c>
      <c r="E410" s="4"/>
      <c r="F410" s="2"/>
      <c r="G410" s="2"/>
      <c r="H410" s="2"/>
      <c r="I410" s="8"/>
      <c r="J410" s="8"/>
      <c r="K410" s="8"/>
      <c r="L410" s="2"/>
      <c r="M410" s="9"/>
      <c r="N410" s="8"/>
      <c r="O410" s="10">
        <f t="shared" si="18"/>
      </c>
      <c r="P410" s="4"/>
      <c r="Q410" s="5">
        <f t="shared" si="19"/>
      </c>
      <c r="R410" s="4"/>
      <c r="S410" s="5">
        <f>IF($B410="","",$B410&amp;"-"&amp;COUNTIFS($B$2:$B410,$B410))</f>
      </c>
      <c r="T410" s="5">
        <f t="shared" si="20"/>
        <v>0</v>
      </c>
    </row>
    <row r="411" ht="27.75" customHeight="1" spans="1:20" x14ac:dyDescent="0.25">
      <c r="A411" s="2"/>
      <c r="B411" s="2"/>
      <c r="C411" s="7">
        <f>IF($B411="","",IFERROR(INDEX('Meetings (MOM)'!$B$2:$B$201,MATCH($B411,'Meetings (MOM)'!$A$2:$A$201,0)),""))</f>
      </c>
      <c r="D411" s="5">
        <f>IF($B411="","",IFERROR(INDEX('Meetings (MOM)'!$C$2:$C$201,MATCH($B411,'Meetings (MOM)'!$A$2:$A$201,0)),""))</f>
      </c>
      <c r="E411" s="4"/>
      <c r="F411" s="2"/>
      <c r="G411" s="2"/>
      <c r="H411" s="2"/>
      <c r="I411" s="8"/>
      <c r="J411" s="8"/>
      <c r="K411" s="8"/>
      <c r="L411" s="2"/>
      <c r="M411" s="9"/>
      <c r="N411" s="8"/>
      <c r="O411" s="10">
        <f t="shared" si="18"/>
      </c>
      <c r="P411" s="4"/>
      <c r="Q411" s="5">
        <f t="shared" si="19"/>
      </c>
      <c r="R411" s="4"/>
      <c r="S411" s="5">
        <f>IF($B411="","",$B411&amp;"-"&amp;COUNTIFS($B$2:$B411,$B411))</f>
      </c>
      <c r="T411" s="5">
        <f t="shared" si="20"/>
        <v>0</v>
      </c>
    </row>
    <row r="412" ht="27.75" customHeight="1" spans="1:20" x14ac:dyDescent="0.25">
      <c r="A412" s="2"/>
      <c r="B412" s="2"/>
      <c r="C412" s="7">
        <f>IF($B412="","",IFERROR(INDEX('Meetings (MOM)'!$B$2:$B$201,MATCH($B412,'Meetings (MOM)'!$A$2:$A$201,0)),""))</f>
      </c>
      <c r="D412" s="5">
        <f>IF($B412="","",IFERROR(INDEX('Meetings (MOM)'!$C$2:$C$201,MATCH($B412,'Meetings (MOM)'!$A$2:$A$201,0)),""))</f>
      </c>
      <c r="E412" s="4"/>
      <c r="F412" s="2"/>
      <c r="G412" s="2"/>
      <c r="H412" s="2"/>
      <c r="I412" s="8"/>
      <c r="J412" s="8"/>
      <c r="K412" s="8"/>
      <c r="L412" s="2"/>
      <c r="M412" s="9"/>
      <c r="N412" s="8"/>
      <c r="O412" s="10">
        <f t="shared" si="18"/>
      </c>
      <c r="P412" s="4"/>
      <c r="Q412" s="5">
        <f t="shared" si="19"/>
      </c>
      <c r="R412" s="4"/>
      <c r="S412" s="5">
        <f>IF($B412="","",$B412&amp;"-"&amp;COUNTIFS($B$2:$B412,$B412))</f>
      </c>
      <c r="T412" s="5">
        <f t="shared" si="20"/>
        <v>0</v>
      </c>
    </row>
    <row r="413" ht="27.75" customHeight="1" spans="1:20" x14ac:dyDescent="0.25">
      <c r="A413" s="2"/>
      <c r="B413" s="2"/>
      <c r="C413" s="7">
        <f>IF($B413="","",IFERROR(INDEX('Meetings (MOM)'!$B$2:$B$201,MATCH($B413,'Meetings (MOM)'!$A$2:$A$201,0)),""))</f>
      </c>
      <c r="D413" s="5">
        <f>IF($B413="","",IFERROR(INDEX('Meetings (MOM)'!$C$2:$C$201,MATCH($B413,'Meetings (MOM)'!$A$2:$A$201,0)),""))</f>
      </c>
      <c r="E413" s="4"/>
      <c r="F413" s="2"/>
      <c r="G413" s="2"/>
      <c r="H413" s="2"/>
      <c r="I413" s="8"/>
      <c r="J413" s="8"/>
      <c r="K413" s="8"/>
      <c r="L413" s="2"/>
      <c r="M413" s="9"/>
      <c r="N413" s="8"/>
      <c r="O413" s="10">
        <f t="shared" si="18"/>
      </c>
      <c r="P413" s="4"/>
      <c r="Q413" s="5">
        <f t="shared" si="19"/>
      </c>
      <c r="R413" s="4"/>
      <c r="S413" s="5">
        <f>IF($B413="","",$B413&amp;"-"&amp;COUNTIFS($B$2:$B413,$B413))</f>
      </c>
      <c r="T413" s="5">
        <f t="shared" si="20"/>
        <v>0</v>
      </c>
    </row>
    <row r="414" ht="27.75" customHeight="1" spans="1:20" x14ac:dyDescent="0.25">
      <c r="A414" s="2"/>
      <c r="B414" s="2"/>
      <c r="C414" s="7">
        <f>IF($B414="","",IFERROR(INDEX('Meetings (MOM)'!$B$2:$B$201,MATCH($B414,'Meetings (MOM)'!$A$2:$A$201,0)),""))</f>
      </c>
      <c r="D414" s="5">
        <f>IF($B414="","",IFERROR(INDEX('Meetings (MOM)'!$C$2:$C$201,MATCH($B414,'Meetings (MOM)'!$A$2:$A$201,0)),""))</f>
      </c>
      <c r="E414" s="4"/>
      <c r="F414" s="2"/>
      <c r="G414" s="2"/>
      <c r="H414" s="2"/>
      <c r="I414" s="8"/>
      <c r="J414" s="8"/>
      <c r="K414" s="8"/>
      <c r="L414" s="2"/>
      <c r="M414" s="9"/>
      <c r="N414" s="8"/>
      <c r="O414" s="10">
        <f t="shared" si="18"/>
      </c>
      <c r="P414" s="4"/>
      <c r="Q414" s="5">
        <f t="shared" si="19"/>
      </c>
      <c r="R414" s="4"/>
      <c r="S414" s="5">
        <f>IF($B414="","",$B414&amp;"-"&amp;COUNTIFS($B$2:$B414,$B414))</f>
      </c>
      <c r="T414" s="5">
        <f t="shared" si="20"/>
        <v>0</v>
      </c>
    </row>
    <row r="415" ht="27.75" customHeight="1" spans="1:20" x14ac:dyDescent="0.25">
      <c r="A415" s="2"/>
      <c r="B415" s="2"/>
      <c r="C415" s="7">
        <f>IF($B415="","",IFERROR(INDEX('Meetings (MOM)'!$B$2:$B$201,MATCH($B415,'Meetings (MOM)'!$A$2:$A$201,0)),""))</f>
      </c>
      <c r="D415" s="5">
        <f>IF($B415="","",IFERROR(INDEX('Meetings (MOM)'!$C$2:$C$201,MATCH($B415,'Meetings (MOM)'!$A$2:$A$201,0)),""))</f>
      </c>
      <c r="E415" s="4"/>
      <c r="F415" s="2"/>
      <c r="G415" s="2"/>
      <c r="H415" s="2"/>
      <c r="I415" s="8"/>
      <c r="J415" s="8"/>
      <c r="K415" s="8"/>
      <c r="L415" s="2"/>
      <c r="M415" s="9"/>
      <c r="N415" s="8"/>
      <c r="O415" s="10">
        <f t="shared" si="18"/>
      </c>
      <c r="P415" s="4"/>
      <c r="Q415" s="5">
        <f t="shared" si="19"/>
      </c>
      <c r="R415" s="4"/>
      <c r="S415" s="5">
        <f>IF($B415="","",$B415&amp;"-"&amp;COUNTIFS($B$2:$B415,$B415))</f>
      </c>
      <c r="T415" s="5">
        <f t="shared" si="20"/>
        <v>0</v>
      </c>
    </row>
    <row r="416" ht="27.75" customHeight="1" spans="1:20" x14ac:dyDescent="0.25">
      <c r="A416" s="2"/>
      <c r="B416" s="2"/>
      <c r="C416" s="7">
        <f>IF($B416="","",IFERROR(INDEX('Meetings (MOM)'!$B$2:$B$201,MATCH($B416,'Meetings (MOM)'!$A$2:$A$201,0)),""))</f>
      </c>
      <c r="D416" s="5">
        <f>IF($B416="","",IFERROR(INDEX('Meetings (MOM)'!$C$2:$C$201,MATCH($B416,'Meetings (MOM)'!$A$2:$A$201,0)),""))</f>
      </c>
      <c r="E416" s="4"/>
      <c r="F416" s="2"/>
      <c r="G416" s="2"/>
      <c r="H416" s="2"/>
      <c r="I416" s="8"/>
      <c r="J416" s="8"/>
      <c r="K416" s="8"/>
      <c r="L416" s="2"/>
      <c r="M416" s="9"/>
      <c r="N416" s="8"/>
      <c r="O416" s="10">
        <f t="shared" si="18"/>
      </c>
      <c r="P416" s="4"/>
      <c r="Q416" s="5">
        <f t="shared" si="19"/>
      </c>
      <c r="R416" s="4"/>
      <c r="S416" s="5">
        <f>IF($B416="","",$B416&amp;"-"&amp;COUNTIFS($B$2:$B416,$B416))</f>
      </c>
      <c r="T416" s="5">
        <f t="shared" si="20"/>
        <v>0</v>
      </c>
    </row>
    <row r="417" ht="27.75" customHeight="1" spans="1:20" x14ac:dyDescent="0.25">
      <c r="A417" s="2"/>
      <c r="B417" s="2"/>
      <c r="C417" s="7">
        <f>IF($B417="","",IFERROR(INDEX('Meetings (MOM)'!$B$2:$B$201,MATCH($B417,'Meetings (MOM)'!$A$2:$A$201,0)),""))</f>
      </c>
      <c r="D417" s="5">
        <f>IF($B417="","",IFERROR(INDEX('Meetings (MOM)'!$C$2:$C$201,MATCH($B417,'Meetings (MOM)'!$A$2:$A$201,0)),""))</f>
      </c>
      <c r="E417" s="4"/>
      <c r="F417" s="2"/>
      <c r="G417" s="2"/>
      <c r="H417" s="2"/>
      <c r="I417" s="8"/>
      <c r="J417" s="8"/>
      <c r="K417" s="8"/>
      <c r="L417" s="2"/>
      <c r="M417" s="9"/>
      <c r="N417" s="8"/>
      <c r="O417" s="10">
        <f t="shared" si="18"/>
      </c>
      <c r="P417" s="4"/>
      <c r="Q417" s="5">
        <f t="shared" si="19"/>
      </c>
      <c r="R417" s="4"/>
      <c r="S417" s="5">
        <f>IF($B417="","",$B417&amp;"-"&amp;COUNTIFS($B$2:$B417,$B417))</f>
      </c>
      <c r="T417" s="5">
        <f t="shared" si="20"/>
        <v>0</v>
      </c>
    </row>
    <row r="418" ht="27.75" customHeight="1" spans="1:20" x14ac:dyDescent="0.25">
      <c r="A418" s="2"/>
      <c r="B418" s="2"/>
      <c r="C418" s="7">
        <f>IF($B418="","",IFERROR(INDEX('Meetings (MOM)'!$B$2:$B$201,MATCH($B418,'Meetings (MOM)'!$A$2:$A$201,0)),""))</f>
      </c>
      <c r="D418" s="5">
        <f>IF($B418="","",IFERROR(INDEX('Meetings (MOM)'!$C$2:$C$201,MATCH($B418,'Meetings (MOM)'!$A$2:$A$201,0)),""))</f>
      </c>
      <c r="E418" s="4"/>
      <c r="F418" s="2"/>
      <c r="G418" s="2"/>
      <c r="H418" s="2"/>
      <c r="I418" s="8"/>
      <c r="J418" s="8"/>
      <c r="K418" s="8"/>
      <c r="L418" s="2"/>
      <c r="M418" s="9"/>
      <c r="N418" s="8"/>
      <c r="O418" s="10">
        <f t="shared" si="18"/>
      </c>
      <c r="P418" s="4"/>
      <c r="Q418" s="5">
        <f t="shared" si="19"/>
      </c>
      <c r="R418" s="4"/>
      <c r="S418" s="5">
        <f>IF($B418="","",$B418&amp;"-"&amp;COUNTIFS($B$2:$B418,$B418))</f>
      </c>
      <c r="T418" s="5">
        <f t="shared" si="20"/>
        <v>0</v>
      </c>
    </row>
    <row r="419" ht="27.75" customHeight="1" spans="1:20" x14ac:dyDescent="0.25">
      <c r="A419" s="2"/>
      <c r="B419" s="2"/>
      <c r="C419" s="7">
        <f>IF($B419="","",IFERROR(INDEX('Meetings (MOM)'!$B$2:$B$201,MATCH($B419,'Meetings (MOM)'!$A$2:$A$201,0)),""))</f>
      </c>
      <c r="D419" s="5">
        <f>IF($B419="","",IFERROR(INDEX('Meetings (MOM)'!$C$2:$C$201,MATCH($B419,'Meetings (MOM)'!$A$2:$A$201,0)),""))</f>
      </c>
      <c r="E419" s="4"/>
      <c r="F419" s="2"/>
      <c r="G419" s="2"/>
      <c r="H419" s="2"/>
      <c r="I419" s="8"/>
      <c r="J419" s="8"/>
      <c r="K419" s="8"/>
      <c r="L419" s="2"/>
      <c r="M419" s="9"/>
      <c r="N419" s="8"/>
      <c r="O419" s="10">
        <f t="shared" si="18"/>
      </c>
      <c r="P419" s="4"/>
      <c r="Q419" s="5">
        <f t="shared" si="19"/>
      </c>
      <c r="R419" s="4"/>
      <c r="S419" s="5">
        <f>IF($B419="","",$B419&amp;"-"&amp;COUNTIFS($B$2:$B419,$B419))</f>
      </c>
      <c r="T419" s="5">
        <f t="shared" si="20"/>
        <v>0</v>
      </c>
    </row>
    <row r="420" ht="27.75" customHeight="1" spans="1:20" x14ac:dyDescent="0.25">
      <c r="A420" s="2"/>
      <c r="B420" s="2"/>
      <c r="C420" s="7">
        <f>IF($B420="","",IFERROR(INDEX('Meetings (MOM)'!$B$2:$B$201,MATCH($B420,'Meetings (MOM)'!$A$2:$A$201,0)),""))</f>
      </c>
      <c r="D420" s="5">
        <f>IF($B420="","",IFERROR(INDEX('Meetings (MOM)'!$C$2:$C$201,MATCH($B420,'Meetings (MOM)'!$A$2:$A$201,0)),""))</f>
      </c>
      <c r="E420" s="4"/>
      <c r="F420" s="2"/>
      <c r="G420" s="2"/>
      <c r="H420" s="2"/>
      <c r="I420" s="8"/>
      <c r="J420" s="8"/>
      <c r="K420" s="8"/>
      <c r="L420" s="2"/>
      <c r="M420" s="9"/>
      <c r="N420" s="8"/>
      <c r="O420" s="10">
        <f t="shared" si="18"/>
      </c>
      <c r="P420" s="4"/>
      <c r="Q420" s="5">
        <f t="shared" si="19"/>
      </c>
      <c r="R420" s="4"/>
      <c r="S420" s="5">
        <f>IF($B420="","",$B420&amp;"-"&amp;COUNTIFS($B$2:$B420,$B420))</f>
      </c>
      <c r="T420" s="5">
        <f t="shared" si="20"/>
        <v>0</v>
      </c>
    </row>
    <row r="421" ht="27.75" customHeight="1" spans="1:20" x14ac:dyDescent="0.25">
      <c r="A421" s="2"/>
      <c r="B421" s="2"/>
      <c r="C421" s="7">
        <f>IF($B421="","",IFERROR(INDEX('Meetings (MOM)'!$B$2:$B$201,MATCH($B421,'Meetings (MOM)'!$A$2:$A$201,0)),""))</f>
      </c>
      <c r="D421" s="5">
        <f>IF($B421="","",IFERROR(INDEX('Meetings (MOM)'!$C$2:$C$201,MATCH($B421,'Meetings (MOM)'!$A$2:$A$201,0)),""))</f>
      </c>
      <c r="E421" s="4"/>
      <c r="F421" s="2"/>
      <c r="G421" s="2"/>
      <c r="H421" s="2"/>
      <c r="I421" s="8"/>
      <c r="J421" s="8"/>
      <c r="K421" s="8"/>
      <c r="L421" s="2"/>
      <c r="M421" s="9"/>
      <c r="N421" s="8"/>
      <c r="O421" s="10">
        <f t="shared" si="18"/>
      </c>
      <c r="P421" s="4"/>
      <c r="Q421" s="5">
        <f t="shared" si="19"/>
      </c>
      <c r="R421" s="4"/>
      <c r="S421" s="5">
        <f>IF($B421="","",$B421&amp;"-"&amp;COUNTIFS($B$2:$B421,$B421))</f>
      </c>
      <c r="T421" s="5">
        <f t="shared" si="20"/>
        <v>0</v>
      </c>
    </row>
    <row r="422" ht="27.75" customHeight="1" spans="1:20" x14ac:dyDescent="0.25">
      <c r="A422" s="2"/>
      <c r="B422" s="2"/>
      <c r="C422" s="7">
        <f>IF($B422="","",IFERROR(INDEX('Meetings (MOM)'!$B$2:$B$201,MATCH($B422,'Meetings (MOM)'!$A$2:$A$201,0)),""))</f>
      </c>
      <c r="D422" s="5">
        <f>IF($B422="","",IFERROR(INDEX('Meetings (MOM)'!$C$2:$C$201,MATCH($B422,'Meetings (MOM)'!$A$2:$A$201,0)),""))</f>
      </c>
      <c r="E422" s="4"/>
      <c r="F422" s="2"/>
      <c r="G422" s="2"/>
      <c r="H422" s="2"/>
      <c r="I422" s="8"/>
      <c r="J422" s="8"/>
      <c r="K422" s="8"/>
      <c r="L422" s="2"/>
      <c r="M422" s="9"/>
      <c r="N422" s="8"/>
      <c r="O422" s="10">
        <f t="shared" si="18"/>
      </c>
      <c r="P422" s="4"/>
      <c r="Q422" s="5">
        <f t="shared" si="19"/>
      </c>
      <c r="R422" s="4"/>
      <c r="S422" s="5">
        <f>IF($B422="","",$B422&amp;"-"&amp;COUNTIFS($B$2:$B422,$B422))</f>
      </c>
      <c r="T422" s="5">
        <f t="shared" si="20"/>
        <v>0</v>
      </c>
    </row>
    <row r="423" ht="27.75" customHeight="1" spans="1:20" x14ac:dyDescent="0.25">
      <c r="A423" s="2"/>
      <c r="B423" s="2"/>
      <c r="C423" s="7">
        <f>IF($B423="","",IFERROR(INDEX('Meetings (MOM)'!$B$2:$B$201,MATCH($B423,'Meetings (MOM)'!$A$2:$A$201,0)),""))</f>
      </c>
      <c r="D423" s="5">
        <f>IF($B423="","",IFERROR(INDEX('Meetings (MOM)'!$C$2:$C$201,MATCH($B423,'Meetings (MOM)'!$A$2:$A$201,0)),""))</f>
      </c>
      <c r="E423" s="4"/>
      <c r="F423" s="2"/>
      <c r="G423" s="2"/>
      <c r="H423" s="2"/>
      <c r="I423" s="8"/>
      <c r="J423" s="8"/>
      <c r="K423" s="8"/>
      <c r="L423" s="2"/>
      <c r="M423" s="9"/>
      <c r="N423" s="8"/>
      <c r="O423" s="10">
        <f t="shared" si="18"/>
      </c>
      <c r="P423" s="4"/>
      <c r="Q423" s="5">
        <f t="shared" si="19"/>
      </c>
      <c r="R423" s="4"/>
      <c r="S423" s="5">
        <f>IF($B423="","",$B423&amp;"-"&amp;COUNTIFS($B$2:$B423,$B423))</f>
      </c>
      <c r="T423" s="5">
        <f t="shared" si="20"/>
        <v>0</v>
      </c>
    </row>
    <row r="424" ht="27.75" customHeight="1" spans="1:20" x14ac:dyDescent="0.25">
      <c r="A424" s="2"/>
      <c r="B424" s="2"/>
      <c r="C424" s="7">
        <f>IF($B424="","",IFERROR(INDEX('Meetings (MOM)'!$B$2:$B$201,MATCH($B424,'Meetings (MOM)'!$A$2:$A$201,0)),""))</f>
      </c>
      <c r="D424" s="5">
        <f>IF($B424="","",IFERROR(INDEX('Meetings (MOM)'!$C$2:$C$201,MATCH($B424,'Meetings (MOM)'!$A$2:$A$201,0)),""))</f>
      </c>
      <c r="E424" s="4"/>
      <c r="F424" s="2"/>
      <c r="G424" s="2"/>
      <c r="H424" s="2"/>
      <c r="I424" s="8"/>
      <c r="J424" s="8"/>
      <c r="K424" s="8"/>
      <c r="L424" s="2"/>
      <c r="M424" s="9"/>
      <c r="N424" s="8"/>
      <c r="O424" s="10">
        <f t="shared" si="18"/>
      </c>
      <c r="P424" s="4"/>
      <c r="Q424" s="5">
        <f t="shared" si="19"/>
      </c>
      <c r="R424" s="4"/>
      <c r="S424" s="5">
        <f>IF($B424="","",$B424&amp;"-"&amp;COUNTIFS($B$2:$B424,$B424))</f>
      </c>
      <c r="T424" s="5">
        <f t="shared" si="20"/>
        <v>0</v>
      </c>
    </row>
    <row r="425" ht="27.75" customHeight="1" spans="1:20" x14ac:dyDescent="0.25">
      <c r="A425" s="2"/>
      <c r="B425" s="2"/>
      <c r="C425" s="7">
        <f>IF($B425="","",IFERROR(INDEX('Meetings (MOM)'!$B$2:$B$201,MATCH($B425,'Meetings (MOM)'!$A$2:$A$201,0)),""))</f>
      </c>
      <c r="D425" s="5">
        <f>IF($B425="","",IFERROR(INDEX('Meetings (MOM)'!$C$2:$C$201,MATCH($B425,'Meetings (MOM)'!$A$2:$A$201,0)),""))</f>
      </c>
      <c r="E425" s="4"/>
      <c r="F425" s="2"/>
      <c r="G425" s="2"/>
      <c r="H425" s="2"/>
      <c r="I425" s="8"/>
      <c r="J425" s="8"/>
      <c r="K425" s="8"/>
      <c r="L425" s="2"/>
      <c r="M425" s="9"/>
      <c r="N425" s="8"/>
      <c r="O425" s="10">
        <f t="shared" si="18"/>
      </c>
      <c r="P425" s="4"/>
      <c r="Q425" s="5">
        <f t="shared" si="19"/>
      </c>
      <c r="R425" s="4"/>
      <c r="S425" s="5">
        <f>IF($B425="","",$B425&amp;"-"&amp;COUNTIFS($B$2:$B425,$B425))</f>
      </c>
      <c r="T425" s="5">
        <f t="shared" si="20"/>
        <v>0</v>
      </c>
    </row>
    <row r="426" ht="27.75" customHeight="1" spans="1:20" x14ac:dyDescent="0.25">
      <c r="A426" s="2"/>
      <c r="B426" s="2"/>
      <c r="C426" s="7">
        <f>IF($B426="","",IFERROR(INDEX('Meetings (MOM)'!$B$2:$B$201,MATCH($B426,'Meetings (MOM)'!$A$2:$A$201,0)),""))</f>
      </c>
      <c r="D426" s="5">
        <f>IF($B426="","",IFERROR(INDEX('Meetings (MOM)'!$C$2:$C$201,MATCH($B426,'Meetings (MOM)'!$A$2:$A$201,0)),""))</f>
      </c>
      <c r="E426" s="4"/>
      <c r="F426" s="2"/>
      <c r="G426" s="2"/>
      <c r="H426" s="2"/>
      <c r="I426" s="8"/>
      <c r="J426" s="8"/>
      <c r="K426" s="8"/>
      <c r="L426" s="2"/>
      <c r="M426" s="9"/>
      <c r="N426" s="8"/>
      <c r="O426" s="10">
        <f t="shared" si="18"/>
      </c>
      <c r="P426" s="4"/>
      <c r="Q426" s="5">
        <f t="shared" si="19"/>
      </c>
      <c r="R426" s="4"/>
      <c r="S426" s="5">
        <f>IF($B426="","",$B426&amp;"-"&amp;COUNTIFS($B$2:$B426,$B426))</f>
      </c>
      <c r="T426" s="5">
        <f t="shared" si="20"/>
        <v>0</v>
      </c>
    </row>
    <row r="427" ht="27.75" customHeight="1" spans="1:20" x14ac:dyDescent="0.25">
      <c r="A427" s="2"/>
      <c r="B427" s="2"/>
      <c r="C427" s="7">
        <f>IF($B427="","",IFERROR(INDEX('Meetings (MOM)'!$B$2:$B$201,MATCH($B427,'Meetings (MOM)'!$A$2:$A$201,0)),""))</f>
      </c>
      <c r="D427" s="5">
        <f>IF($B427="","",IFERROR(INDEX('Meetings (MOM)'!$C$2:$C$201,MATCH($B427,'Meetings (MOM)'!$A$2:$A$201,0)),""))</f>
      </c>
      <c r="E427" s="4"/>
      <c r="F427" s="2"/>
      <c r="G427" s="2"/>
      <c r="H427" s="2"/>
      <c r="I427" s="8"/>
      <c r="J427" s="8"/>
      <c r="K427" s="8"/>
      <c r="L427" s="2"/>
      <c r="M427" s="9"/>
      <c r="N427" s="8"/>
      <c r="O427" s="10">
        <f t="shared" si="18"/>
      </c>
      <c r="P427" s="4"/>
      <c r="Q427" s="5">
        <f t="shared" si="19"/>
      </c>
      <c r="R427" s="4"/>
      <c r="S427" s="5">
        <f>IF($B427="","",$B427&amp;"-"&amp;COUNTIFS($B$2:$B427,$B427))</f>
      </c>
      <c r="T427" s="5">
        <f t="shared" si="20"/>
        <v>0</v>
      </c>
    </row>
    <row r="428" ht="27.75" customHeight="1" spans="1:20" x14ac:dyDescent="0.25">
      <c r="A428" s="2"/>
      <c r="B428" s="2"/>
      <c r="C428" s="7">
        <f>IF($B428="","",IFERROR(INDEX('Meetings (MOM)'!$B$2:$B$201,MATCH($B428,'Meetings (MOM)'!$A$2:$A$201,0)),""))</f>
      </c>
      <c r="D428" s="5">
        <f>IF($B428="","",IFERROR(INDEX('Meetings (MOM)'!$C$2:$C$201,MATCH($B428,'Meetings (MOM)'!$A$2:$A$201,0)),""))</f>
      </c>
      <c r="E428" s="4"/>
      <c r="F428" s="2"/>
      <c r="G428" s="2"/>
      <c r="H428" s="2"/>
      <c r="I428" s="8"/>
      <c r="J428" s="8"/>
      <c r="K428" s="8"/>
      <c r="L428" s="2"/>
      <c r="M428" s="9"/>
      <c r="N428" s="8"/>
      <c r="O428" s="10">
        <f t="shared" si="18"/>
      </c>
      <c r="P428" s="4"/>
      <c r="Q428" s="5">
        <f t="shared" si="19"/>
      </c>
      <c r="R428" s="4"/>
      <c r="S428" s="5">
        <f>IF($B428="","",$B428&amp;"-"&amp;COUNTIFS($B$2:$B428,$B428))</f>
      </c>
      <c r="T428" s="5">
        <f t="shared" si="20"/>
        <v>0</v>
      </c>
    </row>
    <row r="429" ht="27.75" customHeight="1" spans="1:20" x14ac:dyDescent="0.25">
      <c r="A429" s="2"/>
      <c r="B429" s="2"/>
      <c r="C429" s="7">
        <f>IF($B429="","",IFERROR(INDEX('Meetings (MOM)'!$B$2:$B$201,MATCH($B429,'Meetings (MOM)'!$A$2:$A$201,0)),""))</f>
      </c>
      <c r="D429" s="5">
        <f>IF($B429="","",IFERROR(INDEX('Meetings (MOM)'!$C$2:$C$201,MATCH($B429,'Meetings (MOM)'!$A$2:$A$201,0)),""))</f>
      </c>
      <c r="E429" s="4"/>
      <c r="F429" s="2"/>
      <c r="G429" s="2"/>
      <c r="H429" s="2"/>
      <c r="I429" s="8"/>
      <c r="J429" s="8"/>
      <c r="K429" s="8"/>
      <c r="L429" s="2"/>
      <c r="M429" s="9"/>
      <c r="N429" s="8"/>
      <c r="O429" s="10">
        <f t="shared" si="18"/>
      </c>
      <c r="P429" s="4"/>
      <c r="Q429" s="5">
        <f t="shared" si="19"/>
      </c>
      <c r="R429" s="4"/>
      <c r="S429" s="5">
        <f>IF($B429="","",$B429&amp;"-"&amp;COUNTIFS($B$2:$B429,$B429))</f>
      </c>
      <c r="T429" s="5">
        <f t="shared" si="20"/>
        <v>0</v>
      </c>
    </row>
    <row r="430" ht="27.75" customHeight="1" spans="1:20" x14ac:dyDescent="0.25">
      <c r="A430" s="2"/>
      <c r="B430" s="2"/>
      <c r="C430" s="7">
        <f>IF($B430="","",IFERROR(INDEX('Meetings (MOM)'!$B$2:$B$201,MATCH($B430,'Meetings (MOM)'!$A$2:$A$201,0)),""))</f>
      </c>
      <c r="D430" s="5">
        <f>IF($B430="","",IFERROR(INDEX('Meetings (MOM)'!$C$2:$C$201,MATCH($B430,'Meetings (MOM)'!$A$2:$A$201,0)),""))</f>
      </c>
      <c r="E430" s="4"/>
      <c r="F430" s="2"/>
      <c r="G430" s="2"/>
      <c r="H430" s="2"/>
      <c r="I430" s="8"/>
      <c r="J430" s="8"/>
      <c r="K430" s="8"/>
      <c r="L430" s="2"/>
      <c r="M430" s="9"/>
      <c r="N430" s="8"/>
      <c r="O430" s="10">
        <f t="shared" si="18"/>
      </c>
      <c r="P430" s="4"/>
      <c r="Q430" s="5">
        <f t="shared" si="19"/>
      </c>
      <c r="R430" s="4"/>
      <c r="S430" s="5">
        <f>IF($B430="","",$B430&amp;"-"&amp;COUNTIFS($B$2:$B430,$B430))</f>
      </c>
      <c r="T430" s="5">
        <f t="shared" si="20"/>
        <v>0</v>
      </c>
    </row>
    <row r="431" ht="27.75" customHeight="1" spans="1:20" x14ac:dyDescent="0.25">
      <c r="A431" s="2"/>
      <c r="B431" s="2"/>
      <c r="C431" s="7">
        <f>IF($B431="","",IFERROR(INDEX('Meetings (MOM)'!$B$2:$B$201,MATCH($B431,'Meetings (MOM)'!$A$2:$A$201,0)),""))</f>
      </c>
      <c r="D431" s="5">
        <f>IF($B431="","",IFERROR(INDEX('Meetings (MOM)'!$C$2:$C$201,MATCH($B431,'Meetings (MOM)'!$A$2:$A$201,0)),""))</f>
      </c>
      <c r="E431" s="4"/>
      <c r="F431" s="2"/>
      <c r="G431" s="2"/>
      <c r="H431" s="2"/>
      <c r="I431" s="8"/>
      <c r="J431" s="8"/>
      <c r="K431" s="8"/>
      <c r="L431" s="2"/>
      <c r="M431" s="9"/>
      <c r="N431" s="8"/>
      <c r="O431" s="10">
        <f t="shared" si="18"/>
      </c>
      <c r="P431" s="4"/>
      <c r="Q431" s="5">
        <f t="shared" si="19"/>
      </c>
      <c r="R431" s="4"/>
      <c r="S431" s="5">
        <f>IF($B431="","",$B431&amp;"-"&amp;COUNTIFS($B$2:$B431,$B431))</f>
      </c>
      <c r="T431" s="5">
        <f t="shared" si="20"/>
        <v>0</v>
      </c>
    </row>
    <row r="432" ht="27.75" customHeight="1" spans="1:20" x14ac:dyDescent="0.25">
      <c r="A432" s="2"/>
      <c r="B432" s="2"/>
      <c r="C432" s="7">
        <f>IF($B432="","",IFERROR(INDEX('Meetings (MOM)'!$B$2:$B$201,MATCH($B432,'Meetings (MOM)'!$A$2:$A$201,0)),""))</f>
      </c>
      <c r="D432" s="5">
        <f>IF($B432="","",IFERROR(INDEX('Meetings (MOM)'!$C$2:$C$201,MATCH($B432,'Meetings (MOM)'!$A$2:$A$201,0)),""))</f>
      </c>
      <c r="E432" s="4"/>
      <c r="F432" s="2"/>
      <c r="G432" s="2"/>
      <c r="H432" s="2"/>
      <c r="I432" s="8"/>
      <c r="J432" s="8"/>
      <c r="K432" s="8"/>
      <c r="L432" s="2"/>
      <c r="M432" s="9"/>
      <c r="N432" s="8"/>
      <c r="O432" s="10">
        <f t="shared" si="18"/>
      </c>
      <c r="P432" s="4"/>
      <c r="Q432" s="5">
        <f t="shared" si="19"/>
      </c>
      <c r="R432" s="4"/>
      <c r="S432" s="5">
        <f>IF($B432="","",$B432&amp;"-"&amp;COUNTIFS($B$2:$B432,$B432))</f>
      </c>
      <c r="T432" s="5">
        <f t="shared" si="20"/>
        <v>0</v>
      </c>
    </row>
    <row r="433" ht="27.75" customHeight="1" spans="1:20" x14ac:dyDescent="0.25">
      <c r="A433" s="2"/>
      <c r="B433" s="2"/>
      <c r="C433" s="7">
        <f>IF($B433="","",IFERROR(INDEX('Meetings (MOM)'!$B$2:$B$201,MATCH($B433,'Meetings (MOM)'!$A$2:$A$201,0)),""))</f>
      </c>
      <c r="D433" s="5">
        <f>IF($B433="","",IFERROR(INDEX('Meetings (MOM)'!$C$2:$C$201,MATCH($B433,'Meetings (MOM)'!$A$2:$A$201,0)),""))</f>
      </c>
      <c r="E433" s="4"/>
      <c r="F433" s="2"/>
      <c r="G433" s="2"/>
      <c r="H433" s="2"/>
      <c r="I433" s="8"/>
      <c r="J433" s="8"/>
      <c r="K433" s="8"/>
      <c r="L433" s="2"/>
      <c r="M433" s="9"/>
      <c r="N433" s="8"/>
      <c r="O433" s="10">
        <f t="shared" si="18"/>
      </c>
      <c r="P433" s="4"/>
      <c r="Q433" s="5">
        <f t="shared" si="19"/>
      </c>
      <c r="R433" s="4"/>
      <c r="S433" s="5">
        <f>IF($B433="","",$B433&amp;"-"&amp;COUNTIFS($B$2:$B433,$B433))</f>
      </c>
      <c r="T433" s="5">
        <f t="shared" si="20"/>
        <v>0</v>
      </c>
    </row>
    <row r="434" ht="27.75" customHeight="1" spans="1:20" x14ac:dyDescent="0.25">
      <c r="A434" s="2"/>
      <c r="B434" s="2"/>
      <c r="C434" s="7">
        <f>IF($B434="","",IFERROR(INDEX('Meetings (MOM)'!$B$2:$B$201,MATCH($B434,'Meetings (MOM)'!$A$2:$A$201,0)),""))</f>
      </c>
      <c r="D434" s="5">
        <f>IF($B434="","",IFERROR(INDEX('Meetings (MOM)'!$C$2:$C$201,MATCH($B434,'Meetings (MOM)'!$A$2:$A$201,0)),""))</f>
      </c>
      <c r="E434" s="4"/>
      <c r="F434" s="2"/>
      <c r="G434" s="2"/>
      <c r="H434" s="2"/>
      <c r="I434" s="8"/>
      <c r="J434" s="8"/>
      <c r="K434" s="8"/>
      <c r="L434" s="2"/>
      <c r="M434" s="9"/>
      <c r="N434" s="8"/>
      <c r="O434" s="10">
        <f t="shared" si="18"/>
      </c>
      <c r="P434" s="4"/>
      <c r="Q434" s="5">
        <f t="shared" si="19"/>
      </c>
      <c r="R434" s="4"/>
      <c r="S434" s="5">
        <f>IF($B434="","",$B434&amp;"-"&amp;COUNTIFS($B$2:$B434,$B434))</f>
      </c>
      <c r="T434" s="5">
        <f t="shared" si="20"/>
        <v>0</v>
      </c>
    </row>
    <row r="435" ht="27.75" customHeight="1" spans="1:20" x14ac:dyDescent="0.25">
      <c r="A435" s="2"/>
      <c r="B435" s="2"/>
      <c r="C435" s="7">
        <f>IF($B435="","",IFERROR(INDEX('Meetings (MOM)'!$B$2:$B$201,MATCH($B435,'Meetings (MOM)'!$A$2:$A$201,0)),""))</f>
      </c>
      <c r="D435" s="5">
        <f>IF($B435="","",IFERROR(INDEX('Meetings (MOM)'!$C$2:$C$201,MATCH($B435,'Meetings (MOM)'!$A$2:$A$201,0)),""))</f>
      </c>
      <c r="E435" s="4"/>
      <c r="F435" s="2"/>
      <c r="G435" s="2"/>
      <c r="H435" s="2"/>
      <c r="I435" s="8"/>
      <c r="J435" s="8"/>
      <c r="K435" s="8"/>
      <c r="L435" s="2"/>
      <c r="M435" s="9"/>
      <c r="N435" s="8"/>
      <c r="O435" s="10">
        <f t="shared" si="18"/>
      </c>
      <c r="P435" s="4"/>
      <c r="Q435" s="5">
        <f t="shared" si="19"/>
      </c>
      <c r="R435" s="4"/>
      <c r="S435" s="5">
        <f>IF($B435="","",$B435&amp;"-"&amp;COUNTIFS($B$2:$B435,$B435))</f>
      </c>
      <c r="T435" s="5">
        <f t="shared" si="20"/>
        <v>0</v>
      </c>
    </row>
    <row r="436" ht="27.75" customHeight="1" spans="1:20" x14ac:dyDescent="0.25">
      <c r="A436" s="2"/>
      <c r="B436" s="2"/>
      <c r="C436" s="7">
        <f>IF($B436="","",IFERROR(INDEX('Meetings (MOM)'!$B$2:$B$201,MATCH($B436,'Meetings (MOM)'!$A$2:$A$201,0)),""))</f>
      </c>
      <c r="D436" s="5">
        <f>IF($B436="","",IFERROR(INDEX('Meetings (MOM)'!$C$2:$C$201,MATCH($B436,'Meetings (MOM)'!$A$2:$A$201,0)),""))</f>
      </c>
      <c r="E436" s="4"/>
      <c r="F436" s="2"/>
      <c r="G436" s="2"/>
      <c r="H436" s="2"/>
      <c r="I436" s="8"/>
      <c r="J436" s="8"/>
      <c r="K436" s="8"/>
      <c r="L436" s="2"/>
      <c r="M436" s="9"/>
      <c r="N436" s="8"/>
      <c r="O436" s="10">
        <f t="shared" si="18"/>
      </c>
      <c r="P436" s="4"/>
      <c r="Q436" s="5">
        <f t="shared" si="19"/>
      </c>
      <c r="R436" s="4"/>
      <c r="S436" s="5">
        <f>IF($B436="","",$B436&amp;"-"&amp;COUNTIFS($B$2:$B436,$B436))</f>
      </c>
      <c r="T436" s="5">
        <f t="shared" si="20"/>
        <v>0</v>
      </c>
    </row>
    <row r="437" ht="27.75" customHeight="1" spans="1:20" x14ac:dyDescent="0.25">
      <c r="A437" s="2"/>
      <c r="B437" s="2"/>
      <c r="C437" s="7">
        <f>IF($B437="","",IFERROR(INDEX('Meetings (MOM)'!$B$2:$B$201,MATCH($B437,'Meetings (MOM)'!$A$2:$A$201,0)),""))</f>
      </c>
      <c r="D437" s="5">
        <f>IF($B437="","",IFERROR(INDEX('Meetings (MOM)'!$C$2:$C$201,MATCH($B437,'Meetings (MOM)'!$A$2:$A$201,0)),""))</f>
      </c>
      <c r="E437" s="4"/>
      <c r="F437" s="2"/>
      <c r="G437" s="2"/>
      <c r="H437" s="2"/>
      <c r="I437" s="8"/>
      <c r="J437" s="8"/>
      <c r="K437" s="8"/>
      <c r="L437" s="2"/>
      <c r="M437" s="9"/>
      <c r="N437" s="8"/>
      <c r="O437" s="10">
        <f t="shared" si="18"/>
      </c>
      <c r="P437" s="4"/>
      <c r="Q437" s="5">
        <f t="shared" si="19"/>
      </c>
      <c r="R437" s="4"/>
      <c r="S437" s="5">
        <f>IF($B437="","",$B437&amp;"-"&amp;COUNTIFS($B$2:$B437,$B437))</f>
      </c>
      <c r="T437" s="5">
        <f t="shared" si="20"/>
        <v>0</v>
      </c>
    </row>
    <row r="438" ht="27.75" customHeight="1" spans="1:20" x14ac:dyDescent="0.25">
      <c r="A438" s="2"/>
      <c r="B438" s="2"/>
      <c r="C438" s="7">
        <f>IF($B438="","",IFERROR(INDEX('Meetings (MOM)'!$B$2:$B$201,MATCH($B438,'Meetings (MOM)'!$A$2:$A$201,0)),""))</f>
      </c>
      <c r="D438" s="5">
        <f>IF($B438="","",IFERROR(INDEX('Meetings (MOM)'!$C$2:$C$201,MATCH($B438,'Meetings (MOM)'!$A$2:$A$201,0)),""))</f>
      </c>
      <c r="E438" s="4"/>
      <c r="F438" s="2"/>
      <c r="G438" s="2"/>
      <c r="H438" s="2"/>
      <c r="I438" s="8"/>
      <c r="J438" s="8"/>
      <c r="K438" s="8"/>
      <c r="L438" s="2"/>
      <c r="M438" s="9"/>
      <c r="N438" s="8"/>
      <c r="O438" s="10">
        <f t="shared" si="18"/>
      </c>
      <c r="P438" s="4"/>
      <c r="Q438" s="5">
        <f t="shared" si="19"/>
      </c>
      <c r="R438" s="4"/>
      <c r="S438" s="5">
        <f>IF($B438="","",$B438&amp;"-"&amp;COUNTIFS($B$2:$B438,$B438))</f>
      </c>
      <c r="T438" s="5">
        <f t="shared" si="20"/>
        <v>0</v>
      </c>
    </row>
    <row r="439" ht="27.75" customHeight="1" spans="1:20" x14ac:dyDescent="0.25">
      <c r="A439" s="2"/>
      <c r="B439" s="2"/>
      <c r="C439" s="7">
        <f>IF($B439="","",IFERROR(INDEX('Meetings (MOM)'!$B$2:$B$201,MATCH($B439,'Meetings (MOM)'!$A$2:$A$201,0)),""))</f>
      </c>
      <c r="D439" s="5">
        <f>IF($B439="","",IFERROR(INDEX('Meetings (MOM)'!$C$2:$C$201,MATCH($B439,'Meetings (MOM)'!$A$2:$A$201,0)),""))</f>
      </c>
      <c r="E439" s="4"/>
      <c r="F439" s="2"/>
      <c r="G439" s="2"/>
      <c r="H439" s="2"/>
      <c r="I439" s="8"/>
      <c r="J439" s="8"/>
      <c r="K439" s="8"/>
      <c r="L439" s="2"/>
      <c r="M439" s="9"/>
      <c r="N439" s="8"/>
      <c r="O439" s="10">
        <f t="shared" si="18"/>
      </c>
      <c r="P439" s="4"/>
      <c r="Q439" s="5">
        <f t="shared" si="19"/>
      </c>
      <c r="R439" s="4"/>
      <c r="S439" s="5">
        <f>IF($B439="","",$B439&amp;"-"&amp;COUNTIFS($B$2:$B439,$B439))</f>
      </c>
      <c r="T439" s="5">
        <f t="shared" si="20"/>
        <v>0</v>
      </c>
    </row>
    <row r="440" ht="27.75" customHeight="1" spans="1:20" x14ac:dyDescent="0.25">
      <c r="A440" s="2"/>
      <c r="B440" s="2"/>
      <c r="C440" s="7">
        <f>IF($B440="","",IFERROR(INDEX('Meetings (MOM)'!$B$2:$B$201,MATCH($B440,'Meetings (MOM)'!$A$2:$A$201,0)),""))</f>
      </c>
      <c r="D440" s="5">
        <f>IF($B440="","",IFERROR(INDEX('Meetings (MOM)'!$C$2:$C$201,MATCH($B440,'Meetings (MOM)'!$A$2:$A$201,0)),""))</f>
      </c>
      <c r="E440" s="4"/>
      <c r="F440" s="2"/>
      <c r="G440" s="2"/>
      <c r="H440" s="2"/>
      <c r="I440" s="8"/>
      <c r="J440" s="8"/>
      <c r="K440" s="8"/>
      <c r="L440" s="2"/>
      <c r="M440" s="9"/>
      <c r="N440" s="8"/>
      <c r="O440" s="10">
        <f t="shared" si="18"/>
      </c>
      <c r="P440" s="4"/>
      <c r="Q440" s="5">
        <f t="shared" si="19"/>
      </c>
      <c r="R440" s="4"/>
      <c r="S440" s="5">
        <f>IF($B440="","",$B440&amp;"-"&amp;COUNTIFS($B$2:$B440,$B440))</f>
      </c>
      <c r="T440" s="5">
        <f t="shared" si="20"/>
        <v>0</v>
      </c>
    </row>
    <row r="441" ht="27.75" customHeight="1" spans="1:20" x14ac:dyDescent="0.25">
      <c r="A441" s="2"/>
      <c r="B441" s="2"/>
      <c r="C441" s="7">
        <f>IF($B441="","",IFERROR(INDEX('Meetings (MOM)'!$B$2:$B$201,MATCH($B441,'Meetings (MOM)'!$A$2:$A$201,0)),""))</f>
      </c>
      <c r="D441" s="5">
        <f>IF($B441="","",IFERROR(INDEX('Meetings (MOM)'!$C$2:$C$201,MATCH($B441,'Meetings (MOM)'!$A$2:$A$201,0)),""))</f>
      </c>
      <c r="E441" s="4"/>
      <c r="F441" s="2"/>
      <c r="G441" s="2"/>
      <c r="H441" s="2"/>
      <c r="I441" s="8"/>
      <c r="J441" s="8"/>
      <c r="K441" s="8"/>
      <c r="L441" s="2"/>
      <c r="M441" s="9"/>
      <c r="N441" s="8"/>
      <c r="O441" s="10">
        <f t="shared" si="18"/>
      </c>
      <c r="P441" s="4"/>
      <c r="Q441" s="5">
        <f t="shared" si="19"/>
      </c>
      <c r="R441" s="4"/>
      <c r="S441" s="5">
        <f>IF($B441="","",$B441&amp;"-"&amp;COUNTIFS($B$2:$B441,$B441))</f>
      </c>
      <c r="T441" s="5">
        <f t="shared" si="20"/>
        <v>0</v>
      </c>
    </row>
    <row r="442" ht="27.75" customHeight="1" spans="1:20" x14ac:dyDescent="0.25">
      <c r="A442" s="2"/>
      <c r="B442" s="2"/>
      <c r="C442" s="7">
        <f>IF($B442="","",IFERROR(INDEX('Meetings (MOM)'!$B$2:$B$201,MATCH($B442,'Meetings (MOM)'!$A$2:$A$201,0)),""))</f>
      </c>
      <c r="D442" s="5">
        <f>IF($B442="","",IFERROR(INDEX('Meetings (MOM)'!$C$2:$C$201,MATCH($B442,'Meetings (MOM)'!$A$2:$A$201,0)),""))</f>
      </c>
      <c r="E442" s="4"/>
      <c r="F442" s="2"/>
      <c r="G442" s="2"/>
      <c r="H442" s="2"/>
      <c r="I442" s="8"/>
      <c r="J442" s="8"/>
      <c r="K442" s="8"/>
      <c r="L442" s="2"/>
      <c r="M442" s="9"/>
      <c r="N442" s="8"/>
      <c r="O442" s="10">
        <f t="shared" si="18"/>
      </c>
      <c r="P442" s="4"/>
      <c r="Q442" s="5">
        <f t="shared" si="19"/>
      </c>
      <c r="R442" s="4"/>
      <c r="S442" s="5">
        <f>IF($B442="","",$B442&amp;"-"&amp;COUNTIFS($B$2:$B442,$B442))</f>
      </c>
      <c r="T442" s="5">
        <f t="shared" si="20"/>
        <v>0</v>
      </c>
    </row>
    <row r="443" ht="27.75" customHeight="1" spans="1:20" x14ac:dyDescent="0.25">
      <c r="A443" s="2"/>
      <c r="B443" s="2"/>
      <c r="C443" s="7">
        <f>IF($B443="","",IFERROR(INDEX('Meetings (MOM)'!$B$2:$B$201,MATCH($B443,'Meetings (MOM)'!$A$2:$A$201,0)),""))</f>
      </c>
      <c r="D443" s="5">
        <f>IF($B443="","",IFERROR(INDEX('Meetings (MOM)'!$C$2:$C$201,MATCH($B443,'Meetings (MOM)'!$A$2:$A$201,0)),""))</f>
      </c>
      <c r="E443" s="4"/>
      <c r="F443" s="2"/>
      <c r="G443" s="2"/>
      <c r="H443" s="2"/>
      <c r="I443" s="8"/>
      <c r="J443" s="8"/>
      <c r="K443" s="8"/>
      <c r="L443" s="2"/>
      <c r="M443" s="9"/>
      <c r="N443" s="8"/>
      <c r="O443" s="10">
        <f t="shared" si="18"/>
      </c>
      <c r="P443" s="4"/>
      <c r="Q443" s="5">
        <f t="shared" si="19"/>
      </c>
      <c r="R443" s="4"/>
      <c r="S443" s="5">
        <f>IF($B443="","",$B443&amp;"-"&amp;COUNTIFS($B$2:$B443,$B443))</f>
      </c>
      <c r="T443" s="5">
        <f t="shared" si="20"/>
        <v>0</v>
      </c>
    </row>
    <row r="444" ht="27.75" customHeight="1" spans="1:20" x14ac:dyDescent="0.25">
      <c r="A444" s="2"/>
      <c r="B444" s="2"/>
      <c r="C444" s="7">
        <f>IF($B444="","",IFERROR(INDEX('Meetings (MOM)'!$B$2:$B$201,MATCH($B444,'Meetings (MOM)'!$A$2:$A$201,0)),""))</f>
      </c>
      <c r="D444" s="5">
        <f>IF($B444="","",IFERROR(INDEX('Meetings (MOM)'!$C$2:$C$201,MATCH($B444,'Meetings (MOM)'!$A$2:$A$201,0)),""))</f>
      </c>
      <c r="E444" s="4"/>
      <c r="F444" s="2"/>
      <c r="G444" s="2"/>
      <c r="H444" s="2"/>
      <c r="I444" s="8"/>
      <c r="J444" s="8"/>
      <c r="K444" s="8"/>
      <c r="L444" s="2"/>
      <c r="M444" s="9"/>
      <c r="N444" s="8"/>
      <c r="O444" s="10">
        <f t="shared" si="18"/>
      </c>
      <c r="P444" s="4"/>
      <c r="Q444" s="5">
        <f t="shared" si="19"/>
      </c>
      <c r="R444" s="4"/>
      <c r="S444" s="5">
        <f>IF($B444="","",$B444&amp;"-"&amp;COUNTIFS($B$2:$B444,$B444))</f>
      </c>
      <c r="T444" s="5">
        <f t="shared" si="20"/>
        <v>0</v>
      </c>
    </row>
    <row r="445" ht="27.75" customHeight="1" spans="1:20" x14ac:dyDescent="0.25">
      <c r="A445" s="2"/>
      <c r="B445" s="2"/>
      <c r="C445" s="7">
        <f>IF($B445="","",IFERROR(INDEX('Meetings (MOM)'!$B$2:$B$201,MATCH($B445,'Meetings (MOM)'!$A$2:$A$201,0)),""))</f>
      </c>
      <c r="D445" s="5">
        <f>IF($B445="","",IFERROR(INDEX('Meetings (MOM)'!$C$2:$C$201,MATCH($B445,'Meetings (MOM)'!$A$2:$A$201,0)),""))</f>
      </c>
      <c r="E445" s="4"/>
      <c r="F445" s="2"/>
      <c r="G445" s="2"/>
      <c r="H445" s="2"/>
      <c r="I445" s="8"/>
      <c r="J445" s="8"/>
      <c r="K445" s="8"/>
      <c r="L445" s="2"/>
      <c r="M445" s="9"/>
      <c r="N445" s="8"/>
      <c r="O445" s="10">
        <f t="shared" si="18"/>
      </c>
      <c r="P445" s="4"/>
      <c r="Q445" s="5">
        <f t="shared" si="19"/>
      </c>
      <c r="R445" s="4"/>
      <c r="S445" s="5">
        <f>IF($B445="","",$B445&amp;"-"&amp;COUNTIFS($B$2:$B445,$B445))</f>
      </c>
      <c r="T445" s="5">
        <f t="shared" si="20"/>
        <v>0</v>
      </c>
    </row>
    <row r="446" ht="27.75" customHeight="1" spans="1:20" x14ac:dyDescent="0.25">
      <c r="A446" s="2"/>
      <c r="B446" s="2"/>
      <c r="C446" s="7">
        <f>IF($B446="","",IFERROR(INDEX('Meetings (MOM)'!$B$2:$B$201,MATCH($B446,'Meetings (MOM)'!$A$2:$A$201,0)),""))</f>
      </c>
      <c r="D446" s="5">
        <f>IF($B446="","",IFERROR(INDEX('Meetings (MOM)'!$C$2:$C$201,MATCH($B446,'Meetings (MOM)'!$A$2:$A$201,0)),""))</f>
      </c>
      <c r="E446" s="4"/>
      <c r="F446" s="2"/>
      <c r="G446" s="2"/>
      <c r="H446" s="2"/>
      <c r="I446" s="8"/>
      <c r="J446" s="8"/>
      <c r="K446" s="8"/>
      <c r="L446" s="2"/>
      <c r="M446" s="9"/>
      <c r="N446" s="8"/>
      <c r="O446" s="10">
        <f t="shared" si="18"/>
      </c>
      <c r="P446" s="4"/>
      <c r="Q446" s="5">
        <f t="shared" si="19"/>
      </c>
      <c r="R446" s="4"/>
      <c r="S446" s="5">
        <f>IF($B446="","",$B446&amp;"-"&amp;COUNTIFS($B$2:$B446,$B446))</f>
      </c>
      <c r="T446" s="5">
        <f t="shared" si="20"/>
        <v>0</v>
      </c>
    </row>
    <row r="447" ht="27.75" customHeight="1" spans="1:20" x14ac:dyDescent="0.25">
      <c r="A447" s="2"/>
      <c r="B447" s="2"/>
      <c r="C447" s="7">
        <f>IF($B447="","",IFERROR(INDEX('Meetings (MOM)'!$B$2:$B$201,MATCH($B447,'Meetings (MOM)'!$A$2:$A$201,0)),""))</f>
      </c>
      <c r="D447" s="5">
        <f>IF($B447="","",IFERROR(INDEX('Meetings (MOM)'!$C$2:$C$201,MATCH($B447,'Meetings (MOM)'!$A$2:$A$201,0)),""))</f>
      </c>
      <c r="E447" s="4"/>
      <c r="F447" s="2"/>
      <c r="G447" s="2"/>
      <c r="H447" s="2"/>
      <c r="I447" s="8"/>
      <c r="J447" s="8"/>
      <c r="K447" s="8"/>
      <c r="L447" s="2"/>
      <c r="M447" s="9"/>
      <c r="N447" s="8"/>
      <c r="O447" s="10">
        <f t="shared" si="18"/>
      </c>
      <c r="P447" s="4"/>
      <c r="Q447" s="5">
        <f t="shared" si="19"/>
      </c>
      <c r="R447" s="4"/>
      <c r="S447" s="5">
        <f>IF($B447="","",$B447&amp;"-"&amp;COUNTIFS($B$2:$B447,$B447))</f>
      </c>
      <c r="T447" s="5">
        <f t="shared" si="20"/>
        <v>0</v>
      </c>
    </row>
    <row r="448" ht="27.75" customHeight="1" spans="1:20" x14ac:dyDescent="0.25">
      <c r="A448" s="2"/>
      <c r="B448" s="2"/>
      <c r="C448" s="7">
        <f>IF($B448="","",IFERROR(INDEX('Meetings (MOM)'!$B$2:$B$201,MATCH($B448,'Meetings (MOM)'!$A$2:$A$201,0)),""))</f>
      </c>
      <c r="D448" s="5">
        <f>IF($B448="","",IFERROR(INDEX('Meetings (MOM)'!$C$2:$C$201,MATCH($B448,'Meetings (MOM)'!$A$2:$A$201,0)),""))</f>
      </c>
      <c r="E448" s="4"/>
      <c r="F448" s="2"/>
      <c r="G448" s="2"/>
      <c r="H448" s="2"/>
      <c r="I448" s="8"/>
      <c r="J448" s="8"/>
      <c r="K448" s="8"/>
      <c r="L448" s="2"/>
      <c r="M448" s="9"/>
      <c r="N448" s="8"/>
      <c r="O448" s="10">
        <f t="shared" si="18"/>
      </c>
      <c r="P448" s="4"/>
      <c r="Q448" s="5">
        <f t="shared" si="19"/>
      </c>
      <c r="R448" s="4"/>
      <c r="S448" s="5">
        <f>IF($B448="","",$B448&amp;"-"&amp;COUNTIFS($B$2:$B448,$B448))</f>
      </c>
      <c r="T448" s="5">
        <f t="shared" si="20"/>
        <v>0</v>
      </c>
    </row>
    <row r="449" ht="27.75" customHeight="1" spans="1:20" x14ac:dyDescent="0.25">
      <c r="A449" s="2"/>
      <c r="B449" s="2"/>
      <c r="C449" s="7">
        <f>IF($B449="","",IFERROR(INDEX('Meetings (MOM)'!$B$2:$B$201,MATCH($B449,'Meetings (MOM)'!$A$2:$A$201,0)),""))</f>
      </c>
      <c r="D449" s="5">
        <f>IF($B449="","",IFERROR(INDEX('Meetings (MOM)'!$C$2:$C$201,MATCH($B449,'Meetings (MOM)'!$A$2:$A$201,0)),""))</f>
      </c>
      <c r="E449" s="4"/>
      <c r="F449" s="2"/>
      <c r="G449" s="2"/>
      <c r="H449" s="2"/>
      <c r="I449" s="8"/>
      <c r="J449" s="8"/>
      <c r="K449" s="8"/>
      <c r="L449" s="2"/>
      <c r="M449" s="9"/>
      <c r="N449" s="8"/>
      <c r="O449" s="10">
        <f t="shared" si="18"/>
      </c>
      <c r="P449" s="4"/>
      <c r="Q449" s="5">
        <f t="shared" si="19"/>
      </c>
      <c r="R449" s="4"/>
      <c r="S449" s="5">
        <f>IF($B449="","",$B449&amp;"-"&amp;COUNTIFS($B$2:$B449,$B449))</f>
      </c>
      <c r="T449" s="5">
        <f t="shared" si="20"/>
        <v>0</v>
      </c>
    </row>
    <row r="450" ht="27.75" customHeight="1" spans="1:20" x14ac:dyDescent="0.25">
      <c r="A450" s="2"/>
      <c r="B450" s="2"/>
      <c r="C450" s="7">
        <f>IF($B450="","",IFERROR(INDEX('Meetings (MOM)'!$B$2:$B$201,MATCH($B450,'Meetings (MOM)'!$A$2:$A$201,0)),""))</f>
      </c>
      <c r="D450" s="5">
        <f>IF($B450="","",IFERROR(INDEX('Meetings (MOM)'!$C$2:$C$201,MATCH($B450,'Meetings (MOM)'!$A$2:$A$201,0)),""))</f>
      </c>
      <c r="E450" s="4"/>
      <c r="F450" s="2"/>
      <c r="G450" s="2"/>
      <c r="H450" s="2"/>
      <c r="I450" s="8"/>
      <c r="J450" s="8"/>
      <c r="K450" s="8"/>
      <c r="L450" s="2"/>
      <c r="M450" s="9"/>
      <c r="N450" s="8"/>
      <c r="O450" s="10">
        <f t="shared" ref="O450:O501" si="21">IF(OR($A450="",IF($K450="",$J450,$K450)=""),"",IF($L450="Completed",IF($N450="","",$N450-IF($K450="",$J450,$K450)),IF($L450="Cancelled","",TODAY()-IF($K450="",$J450,$K450))))</f>
      </c>
      <c r="P450" s="4"/>
      <c r="Q450" s="5">
        <f t="shared" ref="Q450:Q501" si="22">IF($A450="","",IF(OR($L450="Completed",$L450="Cancelled"),"Closed",IF(IF($K450="",$J450,$K450)="","Set deadline",IF(TODAY()&gt;IF($K450="",$J450,$K450),"OVERDUE - Escalate",IF(IF($K450="",$J450,$K450)-TODAY()&lt;=3,"Send Reminder","On Track")))))</f>
      </c>
      <c r="R450" s="4"/>
      <c r="S450" s="5">
        <f>IF($B450="","",$B450&amp;"-"&amp;COUNTIFS($B$2:$B450,$B450))</f>
      </c>
      <c r="T450" s="5">
        <f t="shared" ref="T450:T501" si="23">IF($A450="",0,IF(OR($L450="Completed",$L450="Cancelled"),0,IF(IF($K450="",$J450,$K450)="",0,IF(TODAY()&gt;IF($K450="",$J450,$K450),1,0))))</f>
        <v>0</v>
      </c>
    </row>
    <row r="451" ht="27.75" customHeight="1" spans="1:20" x14ac:dyDescent="0.25">
      <c r="A451" s="2"/>
      <c r="B451" s="2"/>
      <c r="C451" s="7">
        <f>IF($B451="","",IFERROR(INDEX('Meetings (MOM)'!$B$2:$B$201,MATCH($B451,'Meetings (MOM)'!$A$2:$A$201,0)),""))</f>
      </c>
      <c r="D451" s="5">
        <f>IF($B451="","",IFERROR(INDEX('Meetings (MOM)'!$C$2:$C$201,MATCH($B451,'Meetings (MOM)'!$A$2:$A$201,0)),""))</f>
      </c>
      <c r="E451" s="4"/>
      <c r="F451" s="2"/>
      <c r="G451" s="2"/>
      <c r="H451" s="2"/>
      <c r="I451" s="8"/>
      <c r="J451" s="8"/>
      <c r="K451" s="8"/>
      <c r="L451" s="2"/>
      <c r="M451" s="9"/>
      <c r="N451" s="8"/>
      <c r="O451" s="10">
        <f t="shared" si="21"/>
      </c>
      <c r="P451" s="4"/>
      <c r="Q451" s="5">
        <f t="shared" si="22"/>
      </c>
      <c r="R451" s="4"/>
      <c r="S451" s="5">
        <f>IF($B451="","",$B451&amp;"-"&amp;COUNTIFS($B$2:$B451,$B451))</f>
      </c>
      <c r="T451" s="5">
        <f t="shared" si="23"/>
        <v>0</v>
      </c>
    </row>
    <row r="452" ht="27.75" customHeight="1" spans="1:20" x14ac:dyDescent="0.25">
      <c r="A452" s="2"/>
      <c r="B452" s="2"/>
      <c r="C452" s="7">
        <f>IF($B452="","",IFERROR(INDEX('Meetings (MOM)'!$B$2:$B$201,MATCH($B452,'Meetings (MOM)'!$A$2:$A$201,0)),""))</f>
      </c>
      <c r="D452" s="5">
        <f>IF($B452="","",IFERROR(INDEX('Meetings (MOM)'!$C$2:$C$201,MATCH($B452,'Meetings (MOM)'!$A$2:$A$201,0)),""))</f>
      </c>
      <c r="E452" s="4"/>
      <c r="F452" s="2"/>
      <c r="G452" s="2"/>
      <c r="H452" s="2"/>
      <c r="I452" s="8"/>
      <c r="J452" s="8"/>
      <c r="K452" s="8"/>
      <c r="L452" s="2"/>
      <c r="M452" s="9"/>
      <c r="N452" s="8"/>
      <c r="O452" s="10">
        <f t="shared" si="21"/>
      </c>
      <c r="P452" s="4"/>
      <c r="Q452" s="5">
        <f t="shared" si="22"/>
      </c>
      <c r="R452" s="4"/>
      <c r="S452" s="5">
        <f>IF($B452="","",$B452&amp;"-"&amp;COUNTIFS($B$2:$B452,$B452))</f>
      </c>
      <c r="T452" s="5">
        <f t="shared" si="23"/>
        <v>0</v>
      </c>
    </row>
    <row r="453" ht="27.75" customHeight="1" spans="1:20" x14ac:dyDescent="0.25">
      <c r="A453" s="2"/>
      <c r="B453" s="2"/>
      <c r="C453" s="7">
        <f>IF($B453="","",IFERROR(INDEX('Meetings (MOM)'!$B$2:$B$201,MATCH($B453,'Meetings (MOM)'!$A$2:$A$201,0)),""))</f>
      </c>
      <c r="D453" s="5">
        <f>IF($B453="","",IFERROR(INDEX('Meetings (MOM)'!$C$2:$C$201,MATCH($B453,'Meetings (MOM)'!$A$2:$A$201,0)),""))</f>
      </c>
      <c r="E453" s="4"/>
      <c r="F453" s="2"/>
      <c r="G453" s="2"/>
      <c r="H453" s="2"/>
      <c r="I453" s="8"/>
      <c r="J453" s="8"/>
      <c r="K453" s="8"/>
      <c r="L453" s="2"/>
      <c r="M453" s="9"/>
      <c r="N453" s="8"/>
      <c r="O453" s="10">
        <f t="shared" si="21"/>
      </c>
      <c r="P453" s="4"/>
      <c r="Q453" s="5">
        <f t="shared" si="22"/>
      </c>
      <c r="R453" s="4"/>
      <c r="S453" s="5">
        <f>IF($B453="","",$B453&amp;"-"&amp;COUNTIFS($B$2:$B453,$B453))</f>
      </c>
      <c r="T453" s="5">
        <f t="shared" si="23"/>
        <v>0</v>
      </c>
    </row>
    <row r="454" ht="27.75" customHeight="1" spans="1:20" x14ac:dyDescent="0.25">
      <c r="A454" s="2"/>
      <c r="B454" s="2"/>
      <c r="C454" s="7">
        <f>IF($B454="","",IFERROR(INDEX('Meetings (MOM)'!$B$2:$B$201,MATCH($B454,'Meetings (MOM)'!$A$2:$A$201,0)),""))</f>
      </c>
      <c r="D454" s="5">
        <f>IF($B454="","",IFERROR(INDEX('Meetings (MOM)'!$C$2:$C$201,MATCH($B454,'Meetings (MOM)'!$A$2:$A$201,0)),""))</f>
      </c>
      <c r="E454" s="4"/>
      <c r="F454" s="2"/>
      <c r="G454" s="2"/>
      <c r="H454" s="2"/>
      <c r="I454" s="8"/>
      <c r="J454" s="8"/>
      <c r="K454" s="8"/>
      <c r="L454" s="2"/>
      <c r="M454" s="9"/>
      <c r="N454" s="8"/>
      <c r="O454" s="10">
        <f t="shared" si="21"/>
      </c>
      <c r="P454" s="4"/>
      <c r="Q454" s="5">
        <f t="shared" si="22"/>
      </c>
      <c r="R454" s="4"/>
      <c r="S454" s="5">
        <f>IF($B454="","",$B454&amp;"-"&amp;COUNTIFS($B$2:$B454,$B454))</f>
      </c>
      <c r="T454" s="5">
        <f t="shared" si="23"/>
        <v>0</v>
      </c>
    </row>
    <row r="455" ht="27.75" customHeight="1" spans="1:20" x14ac:dyDescent="0.25">
      <c r="A455" s="2"/>
      <c r="B455" s="2"/>
      <c r="C455" s="7">
        <f>IF($B455="","",IFERROR(INDEX('Meetings (MOM)'!$B$2:$B$201,MATCH($B455,'Meetings (MOM)'!$A$2:$A$201,0)),""))</f>
      </c>
      <c r="D455" s="5">
        <f>IF($B455="","",IFERROR(INDEX('Meetings (MOM)'!$C$2:$C$201,MATCH($B455,'Meetings (MOM)'!$A$2:$A$201,0)),""))</f>
      </c>
      <c r="E455" s="4"/>
      <c r="F455" s="2"/>
      <c r="G455" s="2"/>
      <c r="H455" s="2"/>
      <c r="I455" s="8"/>
      <c r="J455" s="8"/>
      <c r="K455" s="8"/>
      <c r="L455" s="2"/>
      <c r="M455" s="9"/>
      <c r="N455" s="8"/>
      <c r="O455" s="10">
        <f t="shared" si="21"/>
      </c>
      <c r="P455" s="4"/>
      <c r="Q455" s="5">
        <f t="shared" si="22"/>
      </c>
      <c r="R455" s="4"/>
      <c r="S455" s="5">
        <f>IF($B455="","",$B455&amp;"-"&amp;COUNTIFS($B$2:$B455,$B455))</f>
      </c>
      <c r="T455" s="5">
        <f t="shared" si="23"/>
        <v>0</v>
      </c>
    </row>
    <row r="456" ht="27.75" customHeight="1" spans="1:20" x14ac:dyDescent="0.25">
      <c r="A456" s="2"/>
      <c r="B456" s="2"/>
      <c r="C456" s="7">
        <f>IF($B456="","",IFERROR(INDEX('Meetings (MOM)'!$B$2:$B$201,MATCH($B456,'Meetings (MOM)'!$A$2:$A$201,0)),""))</f>
      </c>
      <c r="D456" s="5">
        <f>IF($B456="","",IFERROR(INDEX('Meetings (MOM)'!$C$2:$C$201,MATCH($B456,'Meetings (MOM)'!$A$2:$A$201,0)),""))</f>
      </c>
      <c r="E456" s="4"/>
      <c r="F456" s="2"/>
      <c r="G456" s="2"/>
      <c r="H456" s="2"/>
      <c r="I456" s="8"/>
      <c r="J456" s="8"/>
      <c r="K456" s="8"/>
      <c r="L456" s="2"/>
      <c r="M456" s="9"/>
      <c r="N456" s="8"/>
      <c r="O456" s="10">
        <f t="shared" si="21"/>
      </c>
      <c r="P456" s="4"/>
      <c r="Q456" s="5">
        <f t="shared" si="22"/>
      </c>
      <c r="R456" s="4"/>
      <c r="S456" s="5">
        <f>IF($B456="","",$B456&amp;"-"&amp;COUNTIFS($B$2:$B456,$B456))</f>
      </c>
      <c r="T456" s="5">
        <f t="shared" si="23"/>
        <v>0</v>
      </c>
    </row>
    <row r="457" ht="27.75" customHeight="1" spans="1:20" x14ac:dyDescent="0.25">
      <c r="A457" s="2"/>
      <c r="B457" s="2"/>
      <c r="C457" s="7">
        <f>IF($B457="","",IFERROR(INDEX('Meetings (MOM)'!$B$2:$B$201,MATCH($B457,'Meetings (MOM)'!$A$2:$A$201,0)),""))</f>
      </c>
      <c r="D457" s="5">
        <f>IF($B457="","",IFERROR(INDEX('Meetings (MOM)'!$C$2:$C$201,MATCH($B457,'Meetings (MOM)'!$A$2:$A$201,0)),""))</f>
      </c>
      <c r="E457" s="4"/>
      <c r="F457" s="2"/>
      <c r="G457" s="2"/>
      <c r="H457" s="2"/>
      <c r="I457" s="8"/>
      <c r="J457" s="8"/>
      <c r="K457" s="8"/>
      <c r="L457" s="2"/>
      <c r="M457" s="9"/>
      <c r="N457" s="8"/>
      <c r="O457" s="10">
        <f t="shared" si="21"/>
      </c>
      <c r="P457" s="4"/>
      <c r="Q457" s="5">
        <f t="shared" si="22"/>
      </c>
      <c r="R457" s="4"/>
      <c r="S457" s="5">
        <f>IF($B457="","",$B457&amp;"-"&amp;COUNTIFS($B$2:$B457,$B457))</f>
      </c>
      <c r="T457" s="5">
        <f t="shared" si="23"/>
        <v>0</v>
      </c>
    </row>
    <row r="458" ht="27.75" customHeight="1" spans="1:20" x14ac:dyDescent="0.25">
      <c r="A458" s="2"/>
      <c r="B458" s="2"/>
      <c r="C458" s="7">
        <f>IF($B458="","",IFERROR(INDEX('Meetings (MOM)'!$B$2:$B$201,MATCH($B458,'Meetings (MOM)'!$A$2:$A$201,0)),""))</f>
      </c>
      <c r="D458" s="5">
        <f>IF($B458="","",IFERROR(INDEX('Meetings (MOM)'!$C$2:$C$201,MATCH($B458,'Meetings (MOM)'!$A$2:$A$201,0)),""))</f>
      </c>
      <c r="E458" s="4"/>
      <c r="F458" s="2"/>
      <c r="G458" s="2"/>
      <c r="H458" s="2"/>
      <c r="I458" s="8"/>
      <c r="J458" s="8"/>
      <c r="K458" s="8"/>
      <c r="L458" s="2"/>
      <c r="M458" s="9"/>
      <c r="N458" s="8"/>
      <c r="O458" s="10">
        <f t="shared" si="21"/>
      </c>
      <c r="P458" s="4"/>
      <c r="Q458" s="5">
        <f t="shared" si="22"/>
      </c>
      <c r="R458" s="4"/>
      <c r="S458" s="5">
        <f>IF($B458="","",$B458&amp;"-"&amp;COUNTIFS($B$2:$B458,$B458))</f>
      </c>
      <c r="T458" s="5">
        <f t="shared" si="23"/>
        <v>0</v>
      </c>
    </row>
    <row r="459" ht="27.75" customHeight="1" spans="1:20" x14ac:dyDescent="0.25">
      <c r="A459" s="2"/>
      <c r="B459" s="2"/>
      <c r="C459" s="7">
        <f>IF($B459="","",IFERROR(INDEX('Meetings (MOM)'!$B$2:$B$201,MATCH($B459,'Meetings (MOM)'!$A$2:$A$201,0)),""))</f>
      </c>
      <c r="D459" s="5">
        <f>IF($B459="","",IFERROR(INDEX('Meetings (MOM)'!$C$2:$C$201,MATCH($B459,'Meetings (MOM)'!$A$2:$A$201,0)),""))</f>
      </c>
      <c r="E459" s="4"/>
      <c r="F459" s="2"/>
      <c r="G459" s="2"/>
      <c r="H459" s="2"/>
      <c r="I459" s="8"/>
      <c r="J459" s="8"/>
      <c r="K459" s="8"/>
      <c r="L459" s="2"/>
      <c r="M459" s="9"/>
      <c r="N459" s="8"/>
      <c r="O459" s="10">
        <f t="shared" si="21"/>
      </c>
      <c r="P459" s="4"/>
      <c r="Q459" s="5">
        <f t="shared" si="22"/>
      </c>
      <c r="R459" s="4"/>
      <c r="S459" s="5">
        <f>IF($B459="","",$B459&amp;"-"&amp;COUNTIFS($B$2:$B459,$B459))</f>
      </c>
      <c r="T459" s="5">
        <f t="shared" si="23"/>
        <v>0</v>
      </c>
    </row>
    <row r="460" ht="27.75" customHeight="1" spans="1:20" x14ac:dyDescent="0.25">
      <c r="A460" s="2"/>
      <c r="B460" s="2"/>
      <c r="C460" s="7">
        <f>IF($B460="","",IFERROR(INDEX('Meetings (MOM)'!$B$2:$B$201,MATCH($B460,'Meetings (MOM)'!$A$2:$A$201,0)),""))</f>
      </c>
      <c r="D460" s="5">
        <f>IF($B460="","",IFERROR(INDEX('Meetings (MOM)'!$C$2:$C$201,MATCH($B460,'Meetings (MOM)'!$A$2:$A$201,0)),""))</f>
      </c>
      <c r="E460" s="4"/>
      <c r="F460" s="2"/>
      <c r="G460" s="2"/>
      <c r="H460" s="2"/>
      <c r="I460" s="8"/>
      <c r="J460" s="8"/>
      <c r="K460" s="8"/>
      <c r="L460" s="2"/>
      <c r="M460" s="9"/>
      <c r="N460" s="8"/>
      <c r="O460" s="10">
        <f t="shared" si="21"/>
      </c>
      <c r="P460" s="4"/>
      <c r="Q460" s="5">
        <f t="shared" si="22"/>
      </c>
      <c r="R460" s="4"/>
      <c r="S460" s="5">
        <f>IF($B460="","",$B460&amp;"-"&amp;COUNTIFS($B$2:$B460,$B460))</f>
      </c>
      <c r="T460" s="5">
        <f t="shared" si="23"/>
        <v>0</v>
      </c>
    </row>
    <row r="461" ht="27.75" customHeight="1" spans="1:20" x14ac:dyDescent="0.25">
      <c r="A461" s="2"/>
      <c r="B461" s="2"/>
      <c r="C461" s="7">
        <f>IF($B461="","",IFERROR(INDEX('Meetings (MOM)'!$B$2:$B$201,MATCH($B461,'Meetings (MOM)'!$A$2:$A$201,0)),""))</f>
      </c>
      <c r="D461" s="5">
        <f>IF($B461="","",IFERROR(INDEX('Meetings (MOM)'!$C$2:$C$201,MATCH($B461,'Meetings (MOM)'!$A$2:$A$201,0)),""))</f>
      </c>
      <c r="E461" s="4"/>
      <c r="F461" s="2"/>
      <c r="G461" s="2"/>
      <c r="H461" s="2"/>
      <c r="I461" s="8"/>
      <c r="J461" s="8"/>
      <c r="K461" s="8"/>
      <c r="L461" s="2"/>
      <c r="M461" s="9"/>
      <c r="N461" s="8"/>
      <c r="O461" s="10">
        <f t="shared" si="21"/>
      </c>
      <c r="P461" s="4"/>
      <c r="Q461" s="5">
        <f t="shared" si="22"/>
      </c>
      <c r="R461" s="4"/>
      <c r="S461" s="5">
        <f>IF($B461="","",$B461&amp;"-"&amp;COUNTIFS($B$2:$B461,$B461))</f>
      </c>
      <c r="T461" s="5">
        <f t="shared" si="23"/>
        <v>0</v>
      </c>
    </row>
    <row r="462" ht="27.75" customHeight="1" spans="1:20" x14ac:dyDescent="0.25">
      <c r="A462" s="2"/>
      <c r="B462" s="2"/>
      <c r="C462" s="7">
        <f>IF($B462="","",IFERROR(INDEX('Meetings (MOM)'!$B$2:$B$201,MATCH($B462,'Meetings (MOM)'!$A$2:$A$201,0)),""))</f>
      </c>
      <c r="D462" s="5">
        <f>IF($B462="","",IFERROR(INDEX('Meetings (MOM)'!$C$2:$C$201,MATCH($B462,'Meetings (MOM)'!$A$2:$A$201,0)),""))</f>
      </c>
      <c r="E462" s="4"/>
      <c r="F462" s="2"/>
      <c r="G462" s="2"/>
      <c r="H462" s="2"/>
      <c r="I462" s="8"/>
      <c r="J462" s="8"/>
      <c r="K462" s="8"/>
      <c r="L462" s="2"/>
      <c r="M462" s="9"/>
      <c r="N462" s="8"/>
      <c r="O462" s="10">
        <f t="shared" si="21"/>
      </c>
      <c r="P462" s="4"/>
      <c r="Q462" s="5">
        <f t="shared" si="22"/>
      </c>
      <c r="R462" s="4"/>
      <c r="S462" s="5">
        <f>IF($B462="","",$B462&amp;"-"&amp;COUNTIFS($B$2:$B462,$B462))</f>
      </c>
      <c r="T462" s="5">
        <f t="shared" si="23"/>
        <v>0</v>
      </c>
    </row>
    <row r="463" ht="27.75" customHeight="1" spans="1:20" x14ac:dyDescent="0.25">
      <c r="A463" s="2"/>
      <c r="B463" s="2"/>
      <c r="C463" s="7">
        <f>IF($B463="","",IFERROR(INDEX('Meetings (MOM)'!$B$2:$B$201,MATCH($B463,'Meetings (MOM)'!$A$2:$A$201,0)),""))</f>
      </c>
      <c r="D463" s="5">
        <f>IF($B463="","",IFERROR(INDEX('Meetings (MOM)'!$C$2:$C$201,MATCH($B463,'Meetings (MOM)'!$A$2:$A$201,0)),""))</f>
      </c>
      <c r="E463" s="4"/>
      <c r="F463" s="2"/>
      <c r="G463" s="2"/>
      <c r="H463" s="2"/>
      <c r="I463" s="8"/>
      <c r="J463" s="8"/>
      <c r="K463" s="8"/>
      <c r="L463" s="2"/>
      <c r="M463" s="9"/>
      <c r="N463" s="8"/>
      <c r="O463" s="10">
        <f t="shared" si="21"/>
      </c>
      <c r="P463" s="4"/>
      <c r="Q463" s="5">
        <f t="shared" si="22"/>
      </c>
      <c r="R463" s="4"/>
      <c r="S463" s="5">
        <f>IF($B463="","",$B463&amp;"-"&amp;COUNTIFS($B$2:$B463,$B463))</f>
      </c>
      <c r="T463" s="5">
        <f t="shared" si="23"/>
        <v>0</v>
      </c>
    </row>
    <row r="464" ht="27.75" customHeight="1" spans="1:20" x14ac:dyDescent="0.25">
      <c r="A464" s="2"/>
      <c r="B464" s="2"/>
      <c r="C464" s="7">
        <f>IF($B464="","",IFERROR(INDEX('Meetings (MOM)'!$B$2:$B$201,MATCH($B464,'Meetings (MOM)'!$A$2:$A$201,0)),""))</f>
      </c>
      <c r="D464" s="5">
        <f>IF($B464="","",IFERROR(INDEX('Meetings (MOM)'!$C$2:$C$201,MATCH($B464,'Meetings (MOM)'!$A$2:$A$201,0)),""))</f>
      </c>
      <c r="E464" s="4"/>
      <c r="F464" s="2"/>
      <c r="G464" s="2"/>
      <c r="H464" s="2"/>
      <c r="I464" s="8"/>
      <c r="J464" s="8"/>
      <c r="K464" s="8"/>
      <c r="L464" s="2"/>
      <c r="M464" s="9"/>
      <c r="N464" s="8"/>
      <c r="O464" s="10">
        <f t="shared" si="21"/>
      </c>
      <c r="P464" s="4"/>
      <c r="Q464" s="5">
        <f t="shared" si="22"/>
      </c>
      <c r="R464" s="4"/>
      <c r="S464" s="5">
        <f>IF($B464="","",$B464&amp;"-"&amp;COUNTIFS($B$2:$B464,$B464))</f>
      </c>
      <c r="T464" s="5">
        <f t="shared" si="23"/>
        <v>0</v>
      </c>
    </row>
    <row r="465" ht="27.75" customHeight="1" spans="1:20" x14ac:dyDescent="0.25">
      <c r="A465" s="2"/>
      <c r="B465" s="2"/>
      <c r="C465" s="7">
        <f>IF($B465="","",IFERROR(INDEX('Meetings (MOM)'!$B$2:$B$201,MATCH($B465,'Meetings (MOM)'!$A$2:$A$201,0)),""))</f>
      </c>
      <c r="D465" s="5">
        <f>IF($B465="","",IFERROR(INDEX('Meetings (MOM)'!$C$2:$C$201,MATCH($B465,'Meetings (MOM)'!$A$2:$A$201,0)),""))</f>
      </c>
      <c r="E465" s="4"/>
      <c r="F465" s="2"/>
      <c r="G465" s="2"/>
      <c r="H465" s="2"/>
      <c r="I465" s="8"/>
      <c r="J465" s="8"/>
      <c r="K465" s="8"/>
      <c r="L465" s="2"/>
      <c r="M465" s="9"/>
      <c r="N465" s="8"/>
      <c r="O465" s="10">
        <f t="shared" si="21"/>
      </c>
      <c r="P465" s="4"/>
      <c r="Q465" s="5">
        <f t="shared" si="22"/>
      </c>
      <c r="R465" s="4"/>
      <c r="S465" s="5">
        <f>IF($B465="","",$B465&amp;"-"&amp;COUNTIFS($B$2:$B465,$B465))</f>
      </c>
      <c r="T465" s="5">
        <f t="shared" si="23"/>
        <v>0</v>
      </c>
    </row>
    <row r="466" ht="27.75" customHeight="1" spans="1:20" x14ac:dyDescent="0.25">
      <c r="A466" s="2"/>
      <c r="B466" s="2"/>
      <c r="C466" s="7">
        <f>IF($B466="","",IFERROR(INDEX('Meetings (MOM)'!$B$2:$B$201,MATCH($B466,'Meetings (MOM)'!$A$2:$A$201,0)),""))</f>
      </c>
      <c r="D466" s="5">
        <f>IF($B466="","",IFERROR(INDEX('Meetings (MOM)'!$C$2:$C$201,MATCH($B466,'Meetings (MOM)'!$A$2:$A$201,0)),""))</f>
      </c>
      <c r="E466" s="4"/>
      <c r="F466" s="2"/>
      <c r="G466" s="2"/>
      <c r="H466" s="2"/>
      <c r="I466" s="8"/>
      <c r="J466" s="8"/>
      <c r="K466" s="8"/>
      <c r="L466" s="2"/>
      <c r="M466" s="9"/>
      <c r="N466" s="8"/>
      <c r="O466" s="10">
        <f t="shared" si="21"/>
      </c>
      <c r="P466" s="4"/>
      <c r="Q466" s="5">
        <f t="shared" si="22"/>
      </c>
      <c r="R466" s="4"/>
      <c r="S466" s="5">
        <f>IF($B466="","",$B466&amp;"-"&amp;COUNTIFS($B$2:$B466,$B466))</f>
      </c>
      <c r="T466" s="5">
        <f t="shared" si="23"/>
        <v>0</v>
      </c>
    </row>
    <row r="467" ht="27.75" customHeight="1" spans="1:20" x14ac:dyDescent="0.25">
      <c r="A467" s="2"/>
      <c r="B467" s="2"/>
      <c r="C467" s="7">
        <f>IF($B467="","",IFERROR(INDEX('Meetings (MOM)'!$B$2:$B$201,MATCH($B467,'Meetings (MOM)'!$A$2:$A$201,0)),""))</f>
      </c>
      <c r="D467" s="5">
        <f>IF($B467="","",IFERROR(INDEX('Meetings (MOM)'!$C$2:$C$201,MATCH($B467,'Meetings (MOM)'!$A$2:$A$201,0)),""))</f>
      </c>
      <c r="E467" s="4"/>
      <c r="F467" s="2"/>
      <c r="G467" s="2"/>
      <c r="H467" s="2"/>
      <c r="I467" s="8"/>
      <c r="J467" s="8"/>
      <c r="K467" s="8"/>
      <c r="L467" s="2"/>
      <c r="M467" s="9"/>
      <c r="N467" s="8"/>
      <c r="O467" s="10">
        <f t="shared" si="21"/>
      </c>
      <c r="P467" s="4"/>
      <c r="Q467" s="5">
        <f t="shared" si="22"/>
      </c>
      <c r="R467" s="4"/>
      <c r="S467" s="5">
        <f>IF($B467="","",$B467&amp;"-"&amp;COUNTIFS($B$2:$B467,$B467))</f>
      </c>
      <c r="T467" s="5">
        <f t="shared" si="23"/>
        <v>0</v>
      </c>
    </row>
    <row r="468" ht="27.75" customHeight="1" spans="1:20" x14ac:dyDescent="0.25">
      <c r="A468" s="2"/>
      <c r="B468" s="2"/>
      <c r="C468" s="7">
        <f>IF($B468="","",IFERROR(INDEX('Meetings (MOM)'!$B$2:$B$201,MATCH($B468,'Meetings (MOM)'!$A$2:$A$201,0)),""))</f>
      </c>
      <c r="D468" s="5">
        <f>IF($B468="","",IFERROR(INDEX('Meetings (MOM)'!$C$2:$C$201,MATCH($B468,'Meetings (MOM)'!$A$2:$A$201,0)),""))</f>
      </c>
      <c r="E468" s="4"/>
      <c r="F468" s="2"/>
      <c r="G468" s="2"/>
      <c r="H468" s="2"/>
      <c r="I468" s="8"/>
      <c r="J468" s="8"/>
      <c r="K468" s="8"/>
      <c r="L468" s="2"/>
      <c r="M468" s="9"/>
      <c r="N468" s="8"/>
      <c r="O468" s="10">
        <f t="shared" si="21"/>
      </c>
      <c r="P468" s="4"/>
      <c r="Q468" s="5">
        <f t="shared" si="22"/>
      </c>
      <c r="R468" s="4"/>
      <c r="S468" s="5">
        <f>IF($B468="","",$B468&amp;"-"&amp;COUNTIFS($B$2:$B468,$B468))</f>
      </c>
      <c r="T468" s="5">
        <f t="shared" si="23"/>
        <v>0</v>
      </c>
    </row>
    <row r="469" ht="27.75" customHeight="1" spans="1:20" x14ac:dyDescent="0.25">
      <c r="A469" s="2"/>
      <c r="B469" s="2"/>
      <c r="C469" s="7">
        <f>IF($B469="","",IFERROR(INDEX('Meetings (MOM)'!$B$2:$B$201,MATCH($B469,'Meetings (MOM)'!$A$2:$A$201,0)),""))</f>
      </c>
      <c r="D469" s="5">
        <f>IF($B469="","",IFERROR(INDEX('Meetings (MOM)'!$C$2:$C$201,MATCH($B469,'Meetings (MOM)'!$A$2:$A$201,0)),""))</f>
      </c>
      <c r="E469" s="4"/>
      <c r="F469" s="2"/>
      <c r="G469" s="2"/>
      <c r="H469" s="2"/>
      <c r="I469" s="8"/>
      <c r="J469" s="8"/>
      <c r="K469" s="8"/>
      <c r="L469" s="2"/>
      <c r="M469" s="9"/>
      <c r="N469" s="8"/>
      <c r="O469" s="10">
        <f t="shared" si="21"/>
      </c>
      <c r="P469" s="4"/>
      <c r="Q469" s="5">
        <f t="shared" si="22"/>
      </c>
      <c r="R469" s="4"/>
      <c r="S469" s="5">
        <f>IF($B469="","",$B469&amp;"-"&amp;COUNTIFS($B$2:$B469,$B469))</f>
      </c>
      <c r="T469" s="5">
        <f t="shared" si="23"/>
        <v>0</v>
      </c>
    </row>
    <row r="470" ht="27.75" customHeight="1" spans="1:20" x14ac:dyDescent="0.25">
      <c r="A470" s="2"/>
      <c r="B470" s="2"/>
      <c r="C470" s="7">
        <f>IF($B470="","",IFERROR(INDEX('Meetings (MOM)'!$B$2:$B$201,MATCH($B470,'Meetings (MOM)'!$A$2:$A$201,0)),""))</f>
      </c>
      <c r="D470" s="5">
        <f>IF($B470="","",IFERROR(INDEX('Meetings (MOM)'!$C$2:$C$201,MATCH($B470,'Meetings (MOM)'!$A$2:$A$201,0)),""))</f>
      </c>
      <c r="E470" s="4"/>
      <c r="F470" s="2"/>
      <c r="G470" s="2"/>
      <c r="H470" s="2"/>
      <c r="I470" s="8"/>
      <c r="J470" s="8"/>
      <c r="K470" s="8"/>
      <c r="L470" s="2"/>
      <c r="M470" s="9"/>
      <c r="N470" s="8"/>
      <c r="O470" s="10">
        <f t="shared" si="21"/>
      </c>
      <c r="P470" s="4"/>
      <c r="Q470" s="5">
        <f t="shared" si="22"/>
      </c>
      <c r="R470" s="4"/>
      <c r="S470" s="5">
        <f>IF($B470="","",$B470&amp;"-"&amp;COUNTIFS($B$2:$B470,$B470))</f>
      </c>
      <c r="T470" s="5">
        <f t="shared" si="23"/>
        <v>0</v>
      </c>
    </row>
    <row r="471" ht="27.75" customHeight="1" spans="1:20" x14ac:dyDescent="0.25">
      <c r="A471" s="2"/>
      <c r="B471" s="2"/>
      <c r="C471" s="7">
        <f>IF($B471="","",IFERROR(INDEX('Meetings (MOM)'!$B$2:$B$201,MATCH($B471,'Meetings (MOM)'!$A$2:$A$201,0)),""))</f>
      </c>
      <c r="D471" s="5">
        <f>IF($B471="","",IFERROR(INDEX('Meetings (MOM)'!$C$2:$C$201,MATCH($B471,'Meetings (MOM)'!$A$2:$A$201,0)),""))</f>
      </c>
      <c r="E471" s="4"/>
      <c r="F471" s="2"/>
      <c r="G471" s="2"/>
      <c r="H471" s="2"/>
      <c r="I471" s="8"/>
      <c r="J471" s="8"/>
      <c r="K471" s="8"/>
      <c r="L471" s="2"/>
      <c r="M471" s="9"/>
      <c r="N471" s="8"/>
      <c r="O471" s="10">
        <f t="shared" si="21"/>
      </c>
      <c r="P471" s="4"/>
      <c r="Q471" s="5">
        <f t="shared" si="22"/>
      </c>
      <c r="R471" s="4"/>
      <c r="S471" s="5">
        <f>IF($B471="","",$B471&amp;"-"&amp;COUNTIFS($B$2:$B471,$B471))</f>
      </c>
      <c r="T471" s="5">
        <f t="shared" si="23"/>
        <v>0</v>
      </c>
    </row>
    <row r="472" ht="27.75" customHeight="1" spans="1:20" x14ac:dyDescent="0.25">
      <c r="A472" s="2"/>
      <c r="B472" s="2"/>
      <c r="C472" s="7">
        <f>IF($B472="","",IFERROR(INDEX('Meetings (MOM)'!$B$2:$B$201,MATCH($B472,'Meetings (MOM)'!$A$2:$A$201,0)),""))</f>
      </c>
      <c r="D472" s="5">
        <f>IF($B472="","",IFERROR(INDEX('Meetings (MOM)'!$C$2:$C$201,MATCH($B472,'Meetings (MOM)'!$A$2:$A$201,0)),""))</f>
      </c>
      <c r="E472" s="4"/>
      <c r="F472" s="2"/>
      <c r="G472" s="2"/>
      <c r="H472" s="2"/>
      <c r="I472" s="8"/>
      <c r="J472" s="8"/>
      <c r="K472" s="8"/>
      <c r="L472" s="2"/>
      <c r="M472" s="9"/>
      <c r="N472" s="8"/>
      <c r="O472" s="10">
        <f t="shared" si="21"/>
      </c>
      <c r="P472" s="4"/>
      <c r="Q472" s="5">
        <f t="shared" si="22"/>
      </c>
      <c r="R472" s="4"/>
      <c r="S472" s="5">
        <f>IF($B472="","",$B472&amp;"-"&amp;COUNTIFS($B$2:$B472,$B472))</f>
      </c>
      <c r="T472" s="5">
        <f t="shared" si="23"/>
        <v>0</v>
      </c>
    </row>
    <row r="473" ht="27.75" customHeight="1" spans="1:20" x14ac:dyDescent="0.25">
      <c r="A473" s="2"/>
      <c r="B473" s="2"/>
      <c r="C473" s="7">
        <f>IF($B473="","",IFERROR(INDEX('Meetings (MOM)'!$B$2:$B$201,MATCH($B473,'Meetings (MOM)'!$A$2:$A$201,0)),""))</f>
      </c>
      <c r="D473" s="5">
        <f>IF($B473="","",IFERROR(INDEX('Meetings (MOM)'!$C$2:$C$201,MATCH($B473,'Meetings (MOM)'!$A$2:$A$201,0)),""))</f>
      </c>
      <c r="E473" s="4"/>
      <c r="F473" s="2"/>
      <c r="G473" s="2"/>
      <c r="H473" s="2"/>
      <c r="I473" s="8"/>
      <c r="J473" s="8"/>
      <c r="K473" s="8"/>
      <c r="L473" s="2"/>
      <c r="M473" s="9"/>
      <c r="N473" s="8"/>
      <c r="O473" s="10">
        <f t="shared" si="21"/>
      </c>
      <c r="P473" s="4"/>
      <c r="Q473" s="5">
        <f t="shared" si="22"/>
      </c>
      <c r="R473" s="4"/>
      <c r="S473" s="5">
        <f>IF($B473="","",$B473&amp;"-"&amp;COUNTIFS($B$2:$B473,$B473))</f>
      </c>
      <c r="T473" s="5">
        <f t="shared" si="23"/>
        <v>0</v>
      </c>
    </row>
    <row r="474" ht="27.75" customHeight="1" spans="1:20" x14ac:dyDescent="0.25">
      <c r="A474" s="2"/>
      <c r="B474" s="2"/>
      <c r="C474" s="7">
        <f>IF($B474="","",IFERROR(INDEX('Meetings (MOM)'!$B$2:$B$201,MATCH($B474,'Meetings (MOM)'!$A$2:$A$201,0)),""))</f>
      </c>
      <c r="D474" s="5">
        <f>IF($B474="","",IFERROR(INDEX('Meetings (MOM)'!$C$2:$C$201,MATCH($B474,'Meetings (MOM)'!$A$2:$A$201,0)),""))</f>
      </c>
      <c r="E474" s="4"/>
      <c r="F474" s="2"/>
      <c r="G474" s="2"/>
      <c r="H474" s="2"/>
      <c r="I474" s="8"/>
      <c r="J474" s="8"/>
      <c r="K474" s="8"/>
      <c r="L474" s="2"/>
      <c r="M474" s="9"/>
      <c r="N474" s="8"/>
      <c r="O474" s="10">
        <f t="shared" si="21"/>
      </c>
      <c r="P474" s="4"/>
      <c r="Q474" s="5">
        <f t="shared" si="22"/>
      </c>
      <c r="R474" s="4"/>
      <c r="S474" s="5">
        <f>IF($B474="","",$B474&amp;"-"&amp;COUNTIFS($B$2:$B474,$B474))</f>
      </c>
      <c r="T474" s="5">
        <f t="shared" si="23"/>
        <v>0</v>
      </c>
    </row>
    <row r="475" ht="27.75" customHeight="1" spans="1:20" x14ac:dyDescent="0.25">
      <c r="A475" s="2"/>
      <c r="B475" s="2"/>
      <c r="C475" s="7">
        <f>IF($B475="","",IFERROR(INDEX('Meetings (MOM)'!$B$2:$B$201,MATCH($B475,'Meetings (MOM)'!$A$2:$A$201,0)),""))</f>
      </c>
      <c r="D475" s="5">
        <f>IF($B475="","",IFERROR(INDEX('Meetings (MOM)'!$C$2:$C$201,MATCH($B475,'Meetings (MOM)'!$A$2:$A$201,0)),""))</f>
      </c>
      <c r="E475" s="4"/>
      <c r="F475" s="2"/>
      <c r="G475" s="2"/>
      <c r="H475" s="2"/>
      <c r="I475" s="8"/>
      <c r="J475" s="8"/>
      <c r="K475" s="8"/>
      <c r="L475" s="2"/>
      <c r="M475" s="9"/>
      <c r="N475" s="8"/>
      <c r="O475" s="10">
        <f t="shared" si="21"/>
      </c>
      <c r="P475" s="4"/>
      <c r="Q475" s="5">
        <f t="shared" si="22"/>
      </c>
      <c r="R475" s="4"/>
      <c r="S475" s="5">
        <f>IF($B475="","",$B475&amp;"-"&amp;COUNTIFS($B$2:$B475,$B475))</f>
      </c>
      <c r="T475" s="5">
        <f t="shared" si="23"/>
        <v>0</v>
      </c>
    </row>
    <row r="476" ht="27.75" customHeight="1" spans="1:20" x14ac:dyDescent="0.25">
      <c r="A476" s="2"/>
      <c r="B476" s="2"/>
      <c r="C476" s="7">
        <f>IF($B476="","",IFERROR(INDEX('Meetings (MOM)'!$B$2:$B$201,MATCH($B476,'Meetings (MOM)'!$A$2:$A$201,0)),""))</f>
      </c>
      <c r="D476" s="5">
        <f>IF($B476="","",IFERROR(INDEX('Meetings (MOM)'!$C$2:$C$201,MATCH($B476,'Meetings (MOM)'!$A$2:$A$201,0)),""))</f>
      </c>
      <c r="E476" s="4"/>
      <c r="F476" s="2"/>
      <c r="G476" s="2"/>
      <c r="H476" s="2"/>
      <c r="I476" s="8"/>
      <c r="J476" s="8"/>
      <c r="K476" s="8"/>
      <c r="L476" s="2"/>
      <c r="M476" s="9"/>
      <c r="N476" s="8"/>
      <c r="O476" s="10">
        <f t="shared" si="21"/>
      </c>
      <c r="P476" s="4"/>
      <c r="Q476" s="5">
        <f t="shared" si="22"/>
      </c>
      <c r="R476" s="4"/>
      <c r="S476" s="5">
        <f>IF($B476="","",$B476&amp;"-"&amp;COUNTIFS($B$2:$B476,$B476))</f>
      </c>
      <c r="T476" s="5">
        <f t="shared" si="23"/>
        <v>0</v>
      </c>
    </row>
    <row r="477" ht="27.75" customHeight="1" spans="1:20" x14ac:dyDescent="0.25">
      <c r="A477" s="2"/>
      <c r="B477" s="2"/>
      <c r="C477" s="7">
        <f>IF($B477="","",IFERROR(INDEX('Meetings (MOM)'!$B$2:$B$201,MATCH($B477,'Meetings (MOM)'!$A$2:$A$201,0)),""))</f>
      </c>
      <c r="D477" s="5">
        <f>IF($B477="","",IFERROR(INDEX('Meetings (MOM)'!$C$2:$C$201,MATCH($B477,'Meetings (MOM)'!$A$2:$A$201,0)),""))</f>
      </c>
      <c r="E477" s="4"/>
      <c r="F477" s="2"/>
      <c r="G477" s="2"/>
      <c r="H477" s="2"/>
      <c r="I477" s="8"/>
      <c r="J477" s="8"/>
      <c r="K477" s="8"/>
      <c r="L477" s="2"/>
      <c r="M477" s="9"/>
      <c r="N477" s="8"/>
      <c r="O477" s="10">
        <f t="shared" si="21"/>
      </c>
      <c r="P477" s="4"/>
      <c r="Q477" s="5">
        <f t="shared" si="22"/>
      </c>
      <c r="R477" s="4"/>
      <c r="S477" s="5">
        <f>IF($B477="","",$B477&amp;"-"&amp;COUNTIFS($B$2:$B477,$B477))</f>
      </c>
      <c r="T477" s="5">
        <f t="shared" si="23"/>
        <v>0</v>
      </c>
    </row>
    <row r="478" ht="27.75" customHeight="1" spans="1:20" x14ac:dyDescent="0.25">
      <c r="A478" s="2"/>
      <c r="B478" s="2"/>
      <c r="C478" s="7">
        <f>IF($B478="","",IFERROR(INDEX('Meetings (MOM)'!$B$2:$B$201,MATCH($B478,'Meetings (MOM)'!$A$2:$A$201,0)),""))</f>
      </c>
      <c r="D478" s="5">
        <f>IF($B478="","",IFERROR(INDEX('Meetings (MOM)'!$C$2:$C$201,MATCH($B478,'Meetings (MOM)'!$A$2:$A$201,0)),""))</f>
      </c>
      <c r="E478" s="4"/>
      <c r="F478" s="2"/>
      <c r="G478" s="2"/>
      <c r="H478" s="2"/>
      <c r="I478" s="8"/>
      <c r="J478" s="8"/>
      <c r="K478" s="8"/>
      <c r="L478" s="2"/>
      <c r="M478" s="9"/>
      <c r="N478" s="8"/>
      <c r="O478" s="10">
        <f t="shared" si="21"/>
      </c>
      <c r="P478" s="4"/>
      <c r="Q478" s="5">
        <f t="shared" si="22"/>
      </c>
      <c r="R478" s="4"/>
      <c r="S478" s="5">
        <f>IF($B478="","",$B478&amp;"-"&amp;COUNTIFS($B$2:$B478,$B478))</f>
      </c>
      <c r="T478" s="5">
        <f t="shared" si="23"/>
        <v>0</v>
      </c>
    </row>
    <row r="479" ht="27.75" customHeight="1" spans="1:20" x14ac:dyDescent="0.25">
      <c r="A479" s="2"/>
      <c r="B479" s="2"/>
      <c r="C479" s="7">
        <f>IF($B479="","",IFERROR(INDEX('Meetings (MOM)'!$B$2:$B$201,MATCH($B479,'Meetings (MOM)'!$A$2:$A$201,0)),""))</f>
      </c>
      <c r="D479" s="5">
        <f>IF($B479="","",IFERROR(INDEX('Meetings (MOM)'!$C$2:$C$201,MATCH($B479,'Meetings (MOM)'!$A$2:$A$201,0)),""))</f>
      </c>
      <c r="E479" s="4"/>
      <c r="F479" s="2"/>
      <c r="G479" s="2"/>
      <c r="H479" s="2"/>
      <c r="I479" s="8"/>
      <c r="J479" s="8"/>
      <c r="K479" s="8"/>
      <c r="L479" s="2"/>
      <c r="M479" s="9"/>
      <c r="N479" s="8"/>
      <c r="O479" s="10">
        <f t="shared" si="21"/>
      </c>
      <c r="P479" s="4"/>
      <c r="Q479" s="5">
        <f t="shared" si="22"/>
      </c>
      <c r="R479" s="4"/>
      <c r="S479" s="5">
        <f>IF($B479="","",$B479&amp;"-"&amp;COUNTIFS($B$2:$B479,$B479))</f>
      </c>
      <c r="T479" s="5">
        <f t="shared" si="23"/>
        <v>0</v>
      </c>
    </row>
    <row r="480" ht="27.75" customHeight="1" spans="1:20" x14ac:dyDescent="0.25">
      <c r="A480" s="2"/>
      <c r="B480" s="2"/>
      <c r="C480" s="7">
        <f>IF($B480="","",IFERROR(INDEX('Meetings (MOM)'!$B$2:$B$201,MATCH($B480,'Meetings (MOM)'!$A$2:$A$201,0)),""))</f>
      </c>
      <c r="D480" s="5">
        <f>IF($B480="","",IFERROR(INDEX('Meetings (MOM)'!$C$2:$C$201,MATCH($B480,'Meetings (MOM)'!$A$2:$A$201,0)),""))</f>
      </c>
      <c r="E480" s="4"/>
      <c r="F480" s="2"/>
      <c r="G480" s="2"/>
      <c r="H480" s="2"/>
      <c r="I480" s="8"/>
      <c r="J480" s="8"/>
      <c r="K480" s="8"/>
      <c r="L480" s="2"/>
      <c r="M480" s="9"/>
      <c r="N480" s="8"/>
      <c r="O480" s="10">
        <f t="shared" si="21"/>
      </c>
      <c r="P480" s="4"/>
      <c r="Q480" s="5">
        <f t="shared" si="22"/>
      </c>
      <c r="R480" s="4"/>
      <c r="S480" s="5">
        <f>IF($B480="","",$B480&amp;"-"&amp;COUNTIFS($B$2:$B480,$B480))</f>
      </c>
      <c r="T480" s="5">
        <f t="shared" si="23"/>
        <v>0</v>
      </c>
    </row>
    <row r="481" ht="27.75" customHeight="1" spans="1:20" x14ac:dyDescent="0.25">
      <c r="A481" s="2"/>
      <c r="B481" s="2"/>
      <c r="C481" s="7">
        <f>IF($B481="","",IFERROR(INDEX('Meetings (MOM)'!$B$2:$B$201,MATCH($B481,'Meetings (MOM)'!$A$2:$A$201,0)),""))</f>
      </c>
      <c r="D481" s="5">
        <f>IF($B481="","",IFERROR(INDEX('Meetings (MOM)'!$C$2:$C$201,MATCH($B481,'Meetings (MOM)'!$A$2:$A$201,0)),""))</f>
      </c>
      <c r="E481" s="4"/>
      <c r="F481" s="2"/>
      <c r="G481" s="2"/>
      <c r="H481" s="2"/>
      <c r="I481" s="8"/>
      <c r="J481" s="8"/>
      <c r="K481" s="8"/>
      <c r="L481" s="2"/>
      <c r="M481" s="9"/>
      <c r="N481" s="8"/>
      <c r="O481" s="10">
        <f t="shared" si="21"/>
      </c>
      <c r="P481" s="4"/>
      <c r="Q481" s="5">
        <f t="shared" si="22"/>
      </c>
      <c r="R481" s="4"/>
      <c r="S481" s="5">
        <f>IF($B481="","",$B481&amp;"-"&amp;COUNTIFS($B$2:$B481,$B481))</f>
      </c>
      <c r="T481" s="5">
        <f t="shared" si="23"/>
        <v>0</v>
      </c>
    </row>
    <row r="482" ht="27.75" customHeight="1" spans="1:20" x14ac:dyDescent="0.25">
      <c r="A482" s="2"/>
      <c r="B482" s="2"/>
      <c r="C482" s="7">
        <f>IF($B482="","",IFERROR(INDEX('Meetings (MOM)'!$B$2:$B$201,MATCH($B482,'Meetings (MOM)'!$A$2:$A$201,0)),""))</f>
      </c>
      <c r="D482" s="5">
        <f>IF($B482="","",IFERROR(INDEX('Meetings (MOM)'!$C$2:$C$201,MATCH($B482,'Meetings (MOM)'!$A$2:$A$201,0)),""))</f>
      </c>
      <c r="E482" s="4"/>
      <c r="F482" s="2"/>
      <c r="G482" s="2"/>
      <c r="H482" s="2"/>
      <c r="I482" s="8"/>
      <c r="J482" s="8"/>
      <c r="K482" s="8"/>
      <c r="L482" s="2"/>
      <c r="M482" s="9"/>
      <c r="N482" s="8"/>
      <c r="O482" s="10">
        <f t="shared" si="21"/>
      </c>
      <c r="P482" s="4"/>
      <c r="Q482" s="5">
        <f t="shared" si="22"/>
      </c>
      <c r="R482" s="4"/>
      <c r="S482" s="5">
        <f>IF($B482="","",$B482&amp;"-"&amp;COUNTIFS($B$2:$B482,$B482))</f>
      </c>
      <c r="T482" s="5">
        <f t="shared" si="23"/>
        <v>0</v>
      </c>
    </row>
    <row r="483" ht="27.75" customHeight="1" spans="1:20" x14ac:dyDescent="0.25">
      <c r="A483" s="2"/>
      <c r="B483" s="2"/>
      <c r="C483" s="7">
        <f>IF($B483="","",IFERROR(INDEX('Meetings (MOM)'!$B$2:$B$201,MATCH($B483,'Meetings (MOM)'!$A$2:$A$201,0)),""))</f>
      </c>
      <c r="D483" s="5">
        <f>IF($B483="","",IFERROR(INDEX('Meetings (MOM)'!$C$2:$C$201,MATCH($B483,'Meetings (MOM)'!$A$2:$A$201,0)),""))</f>
      </c>
      <c r="E483" s="4"/>
      <c r="F483" s="2"/>
      <c r="G483" s="2"/>
      <c r="H483" s="2"/>
      <c r="I483" s="8"/>
      <c r="J483" s="8"/>
      <c r="K483" s="8"/>
      <c r="L483" s="2"/>
      <c r="M483" s="9"/>
      <c r="N483" s="8"/>
      <c r="O483" s="10">
        <f t="shared" si="21"/>
      </c>
      <c r="P483" s="4"/>
      <c r="Q483" s="5">
        <f t="shared" si="22"/>
      </c>
      <c r="R483" s="4"/>
      <c r="S483" s="5">
        <f>IF($B483="","",$B483&amp;"-"&amp;COUNTIFS($B$2:$B483,$B483))</f>
      </c>
      <c r="T483" s="5">
        <f t="shared" si="23"/>
        <v>0</v>
      </c>
    </row>
    <row r="484" ht="27.75" customHeight="1" spans="1:20" x14ac:dyDescent="0.25">
      <c r="A484" s="2"/>
      <c r="B484" s="2"/>
      <c r="C484" s="7">
        <f>IF($B484="","",IFERROR(INDEX('Meetings (MOM)'!$B$2:$B$201,MATCH($B484,'Meetings (MOM)'!$A$2:$A$201,0)),""))</f>
      </c>
      <c r="D484" s="5">
        <f>IF($B484="","",IFERROR(INDEX('Meetings (MOM)'!$C$2:$C$201,MATCH($B484,'Meetings (MOM)'!$A$2:$A$201,0)),""))</f>
      </c>
      <c r="E484" s="4"/>
      <c r="F484" s="2"/>
      <c r="G484" s="2"/>
      <c r="H484" s="2"/>
      <c r="I484" s="8"/>
      <c r="J484" s="8"/>
      <c r="K484" s="8"/>
      <c r="L484" s="2"/>
      <c r="M484" s="9"/>
      <c r="N484" s="8"/>
      <c r="O484" s="10">
        <f t="shared" si="21"/>
      </c>
      <c r="P484" s="4"/>
      <c r="Q484" s="5">
        <f t="shared" si="22"/>
      </c>
      <c r="R484" s="4"/>
      <c r="S484" s="5">
        <f>IF($B484="","",$B484&amp;"-"&amp;COUNTIFS($B$2:$B484,$B484))</f>
      </c>
      <c r="T484" s="5">
        <f t="shared" si="23"/>
        <v>0</v>
      </c>
    </row>
    <row r="485" ht="27.75" customHeight="1" spans="1:20" x14ac:dyDescent="0.25">
      <c r="A485" s="2"/>
      <c r="B485" s="2"/>
      <c r="C485" s="7">
        <f>IF($B485="","",IFERROR(INDEX('Meetings (MOM)'!$B$2:$B$201,MATCH($B485,'Meetings (MOM)'!$A$2:$A$201,0)),""))</f>
      </c>
      <c r="D485" s="5">
        <f>IF($B485="","",IFERROR(INDEX('Meetings (MOM)'!$C$2:$C$201,MATCH($B485,'Meetings (MOM)'!$A$2:$A$201,0)),""))</f>
      </c>
      <c r="E485" s="4"/>
      <c r="F485" s="2"/>
      <c r="G485" s="2"/>
      <c r="H485" s="2"/>
      <c r="I485" s="8"/>
      <c r="J485" s="8"/>
      <c r="K485" s="8"/>
      <c r="L485" s="2"/>
      <c r="M485" s="9"/>
      <c r="N485" s="8"/>
      <c r="O485" s="10">
        <f t="shared" si="21"/>
      </c>
      <c r="P485" s="4"/>
      <c r="Q485" s="5">
        <f t="shared" si="22"/>
      </c>
      <c r="R485" s="4"/>
      <c r="S485" s="5">
        <f>IF($B485="","",$B485&amp;"-"&amp;COUNTIFS($B$2:$B485,$B485))</f>
      </c>
      <c r="T485" s="5">
        <f t="shared" si="23"/>
        <v>0</v>
      </c>
    </row>
    <row r="486" ht="27.75" customHeight="1" spans="1:20" x14ac:dyDescent="0.25">
      <c r="A486" s="2"/>
      <c r="B486" s="2"/>
      <c r="C486" s="7">
        <f>IF($B486="","",IFERROR(INDEX('Meetings (MOM)'!$B$2:$B$201,MATCH($B486,'Meetings (MOM)'!$A$2:$A$201,0)),""))</f>
      </c>
      <c r="D486" s="5">
        <f>IF($B486="","",IFERROR(INDEX('Meetings (MOM)'!$C$2:$C$201,MATCH($B486,'Meetings (MOM)'!$A$2:$A$201,0)),""))</f>
      </c>
      <c r="E486" s="4"/>
      <c r="F486" s="2"/>
      <c r="G486" s="2"/>
      <c r="H486" s="2"/>
      <c r="I486" s="8"/>
      <c r="J486" s="8"/>
      <c r="K486" s="8"/>
      <c r="L486" s="2"/>
      <c r="M486" s="9"/>
      <c r="N486" s="8"/>
      <c r="O486" s="10">
        <f t="shared" si="21"/>
      </c>
      <c r="P486" s="4"/>
      <c r="Q486" s="5">
        <f t="shared" si="22"/>
      </c>
      <c r="R486" s="4"/>
      <c r="S486" s="5">
        <f>IF($B486="","",$B486&amp;"-"&amp;COUNTIFS($B$2:$B486,$B486))</f>
      </c>
      <c r="T486" s="5">
        <f t="shared" si="23"/>
        <v>0</v>
      </c>
    </row>
    <row r="487" ht="27.75" customHeight="1" spans="1:20" x14ac:dyDescent="0.25">
      <c r="A487" s="2"/>
      <c r="B487" s="2"/>
      <c r="C487" s="7">
        <f>IF($B487="","",IFERROR(INDEX('Meetings (MOM)'!$B$2:$B$201,MATCH($B487,'Meetings (MOM)'!$A$2:$A$201,0)),""))</f>
      </c>
      <c r="D487" s="5">
        <f>IF($B487="","",IFERROR(INDEX('Meetings (MOM)'!$C$2:$C$201,MATCH($B487,'Meetings (MOM)'!$A$2:$A$201,0)),""))</f>
      </c>
      <c r="E487" s="4"/>
      <c r="F487" s="2"/>
      <c r="G487" s="2"/>
      <c r="H487" s="2"/>
      <c r="I487" s="8"/>
      <c r="J487" s="8"/>
      <c r="K487" s="8"/>
      <c r="L487" s="2"/>
      <c r="M487" s="9"/>
      <c r="N487" s="8"/>
      <c r="O487" s="10">
        <f t="shared" si="21"/>
      </c>
      <c r="P487" s="4"/>
      <c r="Q487" s="5">
        <f t="shared" si="22"/>
      </c>
      <c r="R487" s="4"/>
      <c r="S487" s="5">
        <f>IF($B487="","",$B487&amp;"-"&amp;COUNTIFS($B$2:$B487,$B487))</f>
      </c>
      <c r="T487" s="5">
        <f t="shared" si="23"/>
        <v>0</v>
      </c>
    </row>
    <row r="488" ht="27.75" customHeight="1" spans="1:20" x14ac:dyDescent="0.25">
      <c r="A488" s="2"/>
      <c r="B488" s="2"/>
      <c r="C488" s="7">
        <f>IF($B488="","",IFERROR(INDEX('Meetings (MOM)'!$B$2:$B$201,MATCH($B488,'Meetings (MOM)'!$A$2:$A$201,0)),""))</f>
      </c>
      <c r="D488" s="5">
        <f>IF($B488="","",IFERROR(INDEX('Meetings (MOM)'!$C$2:$C$201,MATCH($B488,'Meetings (MOM)'!$A$2:$A$201,0)),""))</f>
      </c>
      <c r="E488" s="4"/>
      <c r="F488" s="2"/>
      <c r="G488" s="2"/>
      <c r="H488" s="2"/>
      <c r="I488" s="8"/>
      <c r="J488" s="8"/>
      <c r="K488" s="8"/>
      <c r="L488" s="2"/>
      <c r="M488" s="9"/>
      <c r="N488" s="8"/>
      <c r="O488" s="10">
        <f t="shared" si="21"/>
      </c>
      <c r="P488" s="4"/>
      <c r="Q488" s="5">
        <f t="shared" si="22"/>
      </c>
      <c r="R488" s="4"/>
      <c r="S488" s="5">
        <f>IF($B488="","",$B488&amp;"-"&amp;COUNTIFS($B$2:$B488,$B488))</f>
      </c>
      <c r="T488" s="5">
        <f t="shared" si="23"/>
        <v>0</v>
      </c>
    </row>
    <row r="489" ht="27.75" customHeight="1" spans="1:20" x14ac:dyDescent="0.25">
      <c r="A489" s="2"/>
      <c r="B489" s="2"/>
      <c r="C489" s="7">
        <f>IF($B489="","",IFERROR(INDEX('Meetings (MOM)'!$B$2:$B$201,MATCH($B489,'Meetings (MOM)'!$A$2:$A$201,0)),""))</f>
      </c>
      <c r="D489" s="5">
        <f>IF($B489="","",IFERROR(INDEX('Meetings (MOM)'!$C$2:$C$201,MATCH($B489,'Meetings (MOM)'!$A$2:$A$201,0)),""))</f>
      </c>
      <c r="E489" s="4"/>
      <c r="F489" s="2"/>
      <c r="G489" s="2"/>
      <c r="H489" s="2"/>
      <c r="I489" s="8"/>
      <c r="J489" s="8"/>
      <c r="K489" s="8"/>
      <c r="L489" s="2"/>
      <c r="M489" s="9"/>
      <c r="N489" s="8"/>
      <c r="O489" s="10">
        <f t="shared" si="21"/>
      </c>
      <c r="P489" s="4"/>
      <c r="Q489" s="5">
        <f t="shared" si="22"/>
      </c>
      <c r="R489" s="4"/>
      <c r="S489" s="5">
        <f>IF($B489="","",$B489&amp;"-"&amp;COUNTIFS($B$2:$B489,$B489))</f>
      </c>
      <c r="T489" s="5">
        <f t="shared" si="23"/>
        <v>0</v>
      </c>
    </row>
    <row r="490" ht="27.75" customHeight="1" spans="1:20" x14ac:dyDescent="0.25">
      <c r="A490" s="2"/>
      <c r="B490" s="2"/>
      <c r="C490" s="7">
        <f>IF($B490="","",IFERROR(INDEX('Meetings (MOM)'!$B$2:$B$201,MATCH($B490,'Meetings (MOM)'!$A$2:$A$201,0)),""))</f>
      </c>
      <c r="D490" s="5">
        <f>IF($B490="","",IFERROR(INDEX('Meetings (MOM)'!$C$2:$C$201,MATCH($B490,'Meetings (MOM)'!$A$2:$A$201,0)),""))</f>
      </c>
      <c r="E490" s="4"/>
      <c r="F490" s="2"/>
      <c r="G490" s="2"/>
      <c r="H490" s="2"/>
      <c r="I490" s="8"/>
      <c r="J490" s="8"/>
      <c r="K490" s="8"/>
      <c r="L490" s="2"/>
      <c r="M490" s="9"/>
      <c r="N490" s="8"/>
      <c r="O490" s="10">
        <f t="shared" si="21"/>
      </c>
      <c r="P490" s="4"/>
      <c r="Q490" s="5">
        <f t="shared" si="22"/>
      </c>
      <c r="R490" s="4"/>
      <c r="S490" s="5">
        <f>IF($B490="","",$B490&amp;"-"&amp;COUNTIFS($B$2:$B490,$B490))</f>
      </c>
      <c r="T490" s="5">
        <f t="shared" si="23"/>
        <v>0</v>
      </c>
    </row>
    <row r="491" ht="27.75" customHeight="1" spans="1:20" x14ac:dyDescent="0.25">
      <c r="A491" s="2"/>
      <c r="B491" s="2"/>
      <c r="C491" s="7">
        <f>IF($B491="","",IFERROR(INDEX('Meetings (MOM)'!$B$2:$B$201,MATCH($B491,'Meetings (MOM)'!$A$2:$A$201,0)),""))</f>
      </c>
      <c r="D491" s="5">
        <f>IF($B491="","",IFERROR(INDEX('Meetings (MOM)'!$C$2:$C$201,MATCH($B491,'Meetings (MOM)'!$A$2:$A$201,0)),""))</f>
      </c>
      <c r="E491" s="4"/>
      <c r="F491" s="2"/>
      <c r="G491" s="2"/>
      <c r="H491" s="2"/>
      <c r="I491" s="8"/>
      <c r="J491" s="8"/>
      <c r="K491" s="8"/>
      <c r="L491" s="2"/>
      <c r="M491" s="9"/>
      <c r="N491" s="8"/>
      <c r="O491" s="10">
        <f t="shared" si="21"/>
      </c>
      <c r="P491" s="4"/>
      <c r="Q491" s="5">
        <f t="shared" si="22"/>
      </c>
      <c r="R491" s="4"/>
      <c r="S491" s="5">
        <f>IF($B491="","",$B491&amp;"-"&amp;COUNTIFS($B$2:$B491,$B491))</f>
      </c>
      <c r="T491" s="5">
        <f t="shared" si="23"/>
        <v>0</v>
      </c>
    </row>
    <row r="492" ht="27.75" customHeight="1" spans="1:20" x14ac:dyDescent="0.25">
      <c r="A492" s="2"/>
      <c r="B492" s="2"/>
      <c r="C492" s="7">
        <f>IF($B492="","",IFERROR(INDEX('Meetings (MOM)'!$B$2:$B$201,MATCH($B492,'Meetings (MOM)'!$A$2:$A$201,0)),""))</f>
      </c>
      <c r="D492" s="5">
        <f>IF($B492="","",IFERROR(INDEX('Meetings (MOM)'!$C$2:$C$201,MATCH($B492,'Meetings (MOM)'!$A$2:$A$201,0)),""))</f>
      </c>
      <c r="E492" s="4"/>
      <c r="F492" s="2"/>
      <c r="G492" s="2"/>
      <c r="H492" s="2"/>
      <c r="I492" s="8"/>
      <c r="J492" s="8"/>
      <c r="K492" s="8"/>
      <c r="L492" s="2"/>
      <c r="M492" s="9"/>
      <c r="N492" s="8"/>
      <c r="O492" s="10">
        <f t="shared" si="21"/>
      </c>
      <c r="P492" s="4"/>
      <c r="Q492" s="5">
        <f t="shared" si="22"/>
      </c>
      <c r="R492" s="4"/>
      <c r="S492" s="5">
        <f>IF($B492="","",$B492&amp;"-"&amp;COUNTIFS($B$2:$B492,$B492))</f>
      </c>
      <c r="T492" s="5">
        <f t="shared" si="23"/>
        <v>0</v>
      </c>
    </row>
    <row r="493" ht="27.75" customHeight="1" spans="1:20" x14ac:dyDescent="0.25">
      <c r="A493" s="2"/>
      <c r="B493" s="2"/>
      <c r="C493" s="7">
        <f>IF($B493="","",IFERROR(INDEX('Meetings (MOM)'!$B$2:$B$201,MATCH($B493,'Meetings (MOM)'!$A$2:$A$201,0)),""))</f>
      </c>
      <c r="D493" s="5">
        <f>IF($B493="","",IFERROR(INDEX('Meetings (MOM)'!$C$2:$C$201,MATCH($B493,'Meetings (MOM)'!$A$2:$A$201,0)),""))</f>
      </c>
      <c r="E493" s="4"/>
      <c r="F493" s="2"/>
      <c r="G493" s="2"/>
      <c r="H493" s="2"/>
      <c r="I493" s="8"/>
      <c r="J493" s="8"/>
      <c r="K493" s="8"/>
      <c r="L493" s="2"/>
      <c r="M493" s="9"/>
      <c r="N493" s="8"/>
      <c r="O493" s="10">
        <f t="shared" si="21"/>
      </c>
      <c r="P493" s="4"/>
      <c r="Q493" s="5">
        <f t="shared" si="22"/>
      </c>
      <c r="R493" s="4"/>
      <c r="S493" s="5">
        <f>IF($B493="","",$B493&amp;"-"&amp;COUNTIFS($B$2:$B493,$B493))</f>
      </c>
      <c r="T493" s="5">
        <f t="shared" si="23"/>
        <v>0</v>
      </c>
    </row>
    <row r="494" ht="27.75" customHeight="1" spans="1:20" x14ac:dyDescent="0.25">
      <c r="A494" s="2"/>
      <c r="B494" s="2"/>
      <c r="C494" s="7">
        <f>IF($B494="","",IFERROR(INDEX('Meetings (MOM)'!$B$2:$B$201,MATCH($B494,'Meetings (MOM)'!$A$2:$A$201,0)),""))</f>
      </c>
      <c r="D494" s="5">
        <f>IF($B494="","",IFERROR(INDEX('Meetings (MOM)'!$C$2:$C$201,MATCH($B494,'Meetings (MOM)'!$A$2:$A$201,0)),""))</f>
      </c>
      <c r="E494" s="4"/>
      <c r="F494" s="2"/>
      <c r="G494" s="2"/>
      <c r="H494" s="2"/>
      <c r="I494" s="8"/>
      <c r="J494" s="8"/>
      <c r="K494" s="8"/>
      <c r="L494" s="2"/>
      <c r="M494" s="9"/>
      <c r="N494" s="8"/>
      <c r="O494" s="10">
        <f t="shared" si="21"/>
      </c>
      <c r="P494" s="4"/>
      <c r="Q494" s="5">
        <f t="shared" si="22"/>
      </c>
      <c r="R494" s="4"/>
      <c r="S494" s="5">
        <f>IF($B494="","",$B494&amp;"-"&amp;COUNTIFS($B$2:$B494,$B494))</f>
      </c>
      <c r="T494" s="5">
        <f t="shared" si="23"/>
        <v>0</v>
      </c>
    </row>
    <row r="495" ht="27.75" customHeight="1" spans="1:20" x14ac:dyDescent="0.25">
      <c r="A495" s="2"/>
      <c r="B495" s="2"/>
      <c r="C495" s="7">
        <f>IF($B495="","",IFERROR(INDEX('Meetings (MOM)'!$B$2:$B$201,MATCH($B495,'Meetings (MOM)'!$A$2:$A$201,0)),""))</f>
      </c>
      <c r="D495" s="5">
        <f>IF($B495="","",IFERROR(INDEX('Meetings (MOM)'!$C$2:$C$201,MATCH($B495,'Meetings (MOM)'!$A$2:$A$201,0)),""))</f>
      </c>
      <c r="E495" s="4"/>
      <c r="F495" s="2"/>
      <c r="G495" s="2"/>
      <c r="H495" s="2"/>
      <c r="I495" s="8"/>
      <c r="J495" s="8"/>
      <c r="K495" s="8"/>
      <c r="L495" s="2"/>
      <c r="M495" s="9"/>
      <c r="N495" s="8"/>
      <c r="O495" s="10">
        <f t="shared" si="21"/>
      </c>
      <c r="P495" s="4"/>
      <c r="Q495" s="5">
        <f t="shared" si="22"/>
      </c>
      <c r="R495" s="4"/>
      <c r="S495" s="5">
        <f>IF($B495="","",$B495&amp;"-"&amp;COUNTIFS($B$2:$B495,$B495))</f>
      </c>
      <c r="T495" s="5">
        <f t="shared" si="23"/>
        <v>0</v>
      </c>
    </row>
    <row r="496" ht="27.75" customHeight="1" spans="1:20" x14ac:dyDescent="0.25">
      <c r="A496" s="2"/>
      <c r="B496" s="2"/>
      <c r="C496" s="7">
        <f>IF($B496="","",IFERROR(INDEX('Meetings (MOM)'!$B$2:$B$201,MATCH($B496,'Meetings (MOM)'!$A$2:$A$201,0)),""))</f>
      </c>
      <c r="D496" s="5">
        <f>IF($B496="","",IFERROR(INDEX('Meetings (MOM)'!$C$2:$C$201,MATCH($B496,'Meetings (MOM)'!$A$2:$A$201,0)),""))</f>
      </c>
      <c r="E496" s="4"/>
      <c r="F496" s="2"/>
      <c r="G496" s="2"/>
      <c r="H496" s="2"/>
      <c r="I496" s="8"/>
      <c r="J496" s="8"/>
      <c r="K496" s="8"/>
      <c r="L496" s="2"/>
      <c r="M496" s="9"/>
      <c r="N496" s="8"/>
      <c r="O496" s="10">
        <f t="shared" si="21"/>
      </c>
      <c r="P496" s="4"/>
      <c r="Q496" s="5">
        <f t="shared" si="22"/>
      </c>
      <c r="R496" s="4"/>
      <c r="S496" s="5">
        <f>IF($B496="","",$B496&amp;"-"&amp;COUNTIFS($B$2:$B496,$B496))</f>
      </c>
      <c r="T496" s="5">
        <f t="shared" si="23"/>
        <v>0</v>
      </c>
    </row>
    <row r="497" ht="27.75" customHeight="1" spans="1:20" x14ac:dyDescent="0.25">
      <c r="A497" s="2"/>
      <c r="B497" s="2"/>
      <c r="C497" s="7">
        <f>IF($B497="","",IFERROR(INDEX('Meetings (MOM)'!$B$2:$B$201,MATCH($B497,'Meetings (MOM)'!$A$2:$A$201,0)),""))</f>
      </c>
      <c r="D497" s="5">
        <f>IF($B497="","",IFERROR(INDEX('Meetings (MOM)'!$C$2:$C$201,MATCH($B497,'Meetings (MOM)'!$A$2:$A$201,0)),""))</f>
      </c>
      <c r="E497" s="4"/>
      <c r="F497" s="2"/>
      <c r="G497" s="2"/>
      <c r="H497" s="2"/>
      <c r="I497" s="8"/>
      <c r="J497" s="8"/>
      <c r="K497" s="8"/>
      <c r="L497" s="2"/>
      <c r="M497" s="9"/>
      <c r="N497" s="8"/>
      <c r="O497" s="10">
        <f t="shared" si="21"/>
      </c>
      <c r="P497" s="4"/>
      <c r="Q497" s="5">
        <f t="shared" si="22"/>
      </c>
      <c r="R497" s="4"/>
      <c r="S497" s="5">
        <f>IF($B497="","",$B497&amp;"-"&amp;COUNTIFS($B$2:$B497,$B497))</f>
      </c>
      <c r="T497" s="5">
        <f t="shared" si="23"/>
        <v>0</v>
      </c>
    </row>
    <row r="498" ht="27.75" customHeight="1" spans="1:20" x14ac:dyDescent="0.25">
      <c r="A498" s="2"/>
      <c r="B498" s="2"/>
      <c r="C498" s="7">
        <f>IF($B498="","",IFERROR(INDEX('Meetings (MOM)'!$B$2:$B$201,MATCH($B498,'Meetings (MOM)'!$A$2:$A$201,0)),""))</f>
      </c>
      <c r="D498" s="5">
        <f>IF($B498="","",IFERROR(INDEX('Meetings (MOM)'!$C$2:$C$201,MATCH($B498,'Meetings (MOM)'!$A$2:$A$201,0)),""))</f>
      </c>
      <c r="E498" s="4"/>
      <c r="F498" s="2"/>
      <c r="G498" s="2"/>
      <c r="H498" s="2"/>
      <c r="I498" s="8"/>
      <c r="J498" s="8"/>
      <c r="K498" s="8"/>
      <c r="L498" s="2"/>
      <c r="M498" s="9"/>
      <c r="N498" s="8"/>
      <c r="O498" s="10">
        <f t="shared" si="21"/>
      </c>
      <c r="P498" s="4"/>
      <c r="Q498" s="5">
        <f t="shared" si="22"/>
      </c>
      <c r="R498" s="4"/>
      <c r="S498" s="5">
        <f>IF($B498="","",$B498&amp;"-"&amp;COUNTIFS($B$2:$B498,$B498))</f>
      </c>
      <c r="T498" s="5">
        <f t="shared" si="23"/>
        <v>0</v>
      </c>
    </row>
    <row r="499" ht="27.75" customHeight="1" spans="1:20" x14ac:dyDescent="0.25">
      <c r="A499" s="2"/>
      <c r="B499" s="2"/>
      <c r="C499" s="7">
        <f>IF($B499="","",IFERROR(INDEX('Meetings (MOM)'!$B$2:$B$201,MATCH($B499,'Meetings (MOM)'!$A$2:$A$201,0)),""))</f>
      </c>
      <c r="D499" s="5">
        <f>IF($B499="","",IFERROR(INDEX('Meetings (MOM)'!$C$2:$C$201,MATCH($B499,'Meetings (MOM)'!$A$2:$A$201,0)),""))</f>
      </c>
      <c r="E499" s="4"/>
      <c r="F499" s="2"/>
      <c r="G499" s="2"/>
      <c r="H499" s="2"/>
      <c r="I499" s="8"/>
      <c r="J499" s="8"/>
      <c r="K499" s="8"/>
      <c r="L499" s="2"/>
      <c r="M499" s="9"/>
      <c r="N499" s="8"/>
      <c r="O499" s="10">
        <f t="shared" si="21"/>
      </c>
      <c r="P499" s="4"/>
      <c r="Q499" s="5">
        <f t="shared" si="22"/>
      </c>
      <c r="R499" s="4"/>
      <c r="S499" s="5">
        <f>IF($B499="","",$B499&amp;"-"&amp;COUNTIFS($B$2:$B499,$B499))</f>
      </c>
      <c r="T499" s="5">
        <f t="shared" si="23"/>
        <v>0</v>
      </c>
    </row>
    <row r="500" ht="27.75" customHeight="1" spans="1:20" x14ac:dyDescent="0.25">
      <c r="A500" s="2"/>
      <c r="B500" s="2"/>
      <c r="C500" s="7">
        <f>IF($B500="","",IFERROR(INDEX('Meetings (MOM)'!$B$2:$B$201,MATCH($B500,'Meetings (MOM)'!$A$2:$A$201,0)),""))</f>
      </c>
      <c r="D500" s="5">
        <f>IF($B500="","",IFERROR(INDEX('Meetings (MOM)'!$C$2:$C$201,MATCH($B500,'Meetings (MOM)'!$A$2:$A$201,0)),""))</f>
      </c>
      <c r="E500" s="4"/>
      <c r="F500" s="2"/>
      <c r="G500" s="2"/>
      <c r="H500" s="2"/>
      <c r="I500" s="8"/>
      <c r="J500" s="8"/>
      <c r="K500" s="8"/>
      <c r="L500" s="2"/>
      <c r="M500" s="9"/>
      <c r="N500" s="8"/>
      <c r="O500" s="10">
        <f t="shared" si="21"/>
      </c>
      <c r="P500" s="4"/>
      <c r="Q500" s="5">
        <f t="shared" si="22"/>
      </c>
      <c r="R500" s="4"/>
      <c r="S500" s="5">
        <f>IF($B500="","",$B500&amp;"-"&amp;COUNTIFS($B$2:$B500,$B500))</f>
      </c>
      <c r="T500" s="5">
        <f t="shared" si="23"/>
        <v>0</v>
      </c>
    </row>
    <row r="501" ht="27.75" customHeight="1" spans="1:20" x14ac:dyDescent="0.25">
      <c r="A501" s="2"/>
      <c r="B501" s="2"/>
      <c r="C501" s="7">
        <f>IF($B501="","",IFERROR(INDEX('Meetings (MOM)'!$B$2:$B$201,MATCH($B501,'Meetings (MOM)'!$A$2:$A$201,0)),""))</f>
      </c>
      <c r="D501" s="5">
        <f>IF($B501="","",IFERROR(INDEX('Meetings (MOM)'!$C$2:$C$201,MATCH($B501,'Meetings (MOM)'!$A$2:$A$201,0)),""))</f>
      </c>
      <c r="E501" s="4"/>
      <c r="F501" s="2"/>
      <c r="G501" s="2"/>
      <c r="H501" s="2"/>
      <c r="I501" s="8"/>
      <c r="J501" s="8"/>
      <c r="K501" s="8"/>
      <c r="L501" s="2"/>
      <c r="M501" s="9"/>
      <c r="N501" s="8"/>
      <c r="O501" s="10">
        <f t="shared" si="21"/>
      </c>
      <c r="P501" s="4"/>
      <c r="Q501" s="5">
        <f t="shared" si="22"/>
      </c>
      <c r="R501" s="4"/>
      <c r="S501" s="5">
        <f>IF($B501="","",$B501&amp;"-"&amp;COUNTIFS($B$2:$B501,$B501))</f>
      </c>
      <c r="T501" s="5">
        <f t="shared" si="23"/>
        <v>0</v>
      </c>
    </row>
  </sheetData>
  <conditionalFormatting sqref="L2:L501">
    <cfRule type="cellIs" dxfId="0" priority="2" operator="equal">
      <formula>"Completed"</formula>
    </cfRule>
    <cfRule type="cellIs" dxfId="1" priority="3" operator="equal">
      <formula>"In Progress"</formula>
    </cfRule>
    <cfRule type="cellIs" dxfId="2" priority="4" operator="equal">
      <formula>"On Hold"</formula>
    </cfRule>
  </conditionalFormatting>
  <conditionalFormatting sqref="Q2:Q501">
    <cfRule type="cellIs" dxfId="3" priority="5" operator="equal">
      <formula>"OVERDUE - Escalate"</formula>
    </cfRule>
    <cfRule type="cellIs" dxfId="4" priority="6" operator="equal">
      <formula>"Send Reminder"</formula>
    </cfRule>
    <cfRule type="cellIs" dxfId="5" priority="7" operator="equal">
      <formula>"Closed"</formula>
    </cfRule>
  </conditionalFormatting>
  <conditionalFormatting sqref="A2:R501">
    <cfRule type="expression" dxfId="6" priority="8">
      <formula>$T2=1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46"/>
  <sheetViews>
    <sheetView workbookViewId="0" showGridLines="0" zoomScale="100" zoomScaleNormal="100"/>
  </sheetViews>
  <sheetFormatPr defaultRowHeight="15" outlineLevelRow="0" outlineLevelCol="0" x14ac:dyDescent="0" defaultColWidth="8.7109375"/>
  <cols>
    <col min="1" max="1" width="3" customWidth="1"/>
    <col min="2" max="2" width="20" customWidth="1"/>
    <col min="3" max="3" width="26" customWidth="1"/>
    <col min="4" max="4" width="20" customWidth="1"/>
    <col min="5" max="5" width="26" customWidth="1"/>
    <col min="6" max="6" width="18" customWidth="1"/>
    <col min="7" max="9" width="14" customWidth="1"/>
    <col min="10" max="10" width="3" customWidth="1"/>
  </cols>
  <sheetData>
    <row r="2" ht="30" customHeight="1" spans="2:9" x14ac:dyDescent="0.25">
      <c r="B2" s="11" t="s">
        <v>67</v>
      </c>
      <c r="C2" s="11"/>
      <c r="D2" s="11"/>
      <c r="E2" s="11"/>
      <c r="F2" s="11"/>
      <c r="G2" s="11"/>
      <c r="H2" s="11"/>
      <c r="I2" s="11"/>
    </row>
    <row r="4" spans="2:4" x14ac:dyDescent="0.25">
      <c r="B4" s="12" t="s">
        <v>68</v>
      </c>
      <c r="C4" s="13" t="s">
        <v>21</v>
      </c>
      <c r="D4" s="14" t="s">
        <v>69</v>
      </c>
    </row>
    <row r="6" spans="2:5" x14ac:dyDescent="0.25">
      <c r="B6" s="15" t="s">
        <v>1</v>
      </c>
      <c r="C6" s="3">
        <f>IFERROR(INDEX('Meetings (MOM)'!$B$2:$B$201,MATCH($C$4,'Meetings (MOM)'!$A$2:$A$201,0)),"")</f>
        <v>46266</v>
      </c>
      <c r="D6" s="15" t="s">
        <v>2</v>
      </c>
      <c r="E6" s="4" t="str">
        <f>IFERROR(INDEX('Meetings (MOM)'!$C$2:$C$201,MATCH($C$4,'Meetings (MOM)'!$A$2:$A$201,0)),"")</f>
        <v>Head Office</v>
      </c>
    </row>
    <row r="7" ht="25.5" customHeight="1" spans="2:5" x14ac:dyDescent="0.25">
      <c r="B7" s="15" t="s">
        <v>70</v>
      </c>
      <c r="C7" s="4" t="str">
        <f>IFERROR(INDEX('Meetings (MOM)'!$D$2:$D$201,MATCH($C$4,'Meetings (MOM)'!$A$2:$A$201,0)),"")</f>
        <v>Monthly Business Review - Aug 2026</v>
      </c>
      <c r="D7" s="15" t="s">
        <v>4</v>
      </c>
      <c r="E7" s="4" t="str">
        <f>IFERROR(INDEX('Meetings (MOM)'!$E$2:$E$201,MATCH($C$4,'Meetings (MOM)'!$A$2:$A$201,0)),"")</f>
        <v>Monthly Review</v>
      </c>
    </row>
    <row r="8" spans="2:5" x14ac:dyDescent="0.25">
      <c r="B8" s="15" t="s">
        <v>5</v>
      </c>
      <c r="C8" s="4" t="str">
        <f>IFERROR(INDEX('Meetings (MOM)'!$F$2:$F$201,MATCH($C$4,'Meetings (MOM)'!$A$2:$A$201,0)),"")</f>
        <v>Conference Room / Zoom</v>
      </c>
      <c r="D8" s="15" t="s">
        <v>15</v>
      </c>
      <c r="E8" s="3">
        <f>IFERROR(INDEX('Meetings (MOM)'!$P$2:$P$201,MATCH($C$4,'Meetings (MOM)'!$A$2:$A$201,0)),"")</f>
        <v>46296</v>
      </c>
    </row>
    <row r="9" spans="2:5" x14ac:dyDescent="0.25">
      <c r="B9" s="15" t="s">
        <v>6</v>
      </c>
      <c r="C9" s="4" t="str">
        <f>IFERROR(INDEX('Meetings (MOM)'!$G$2:$G$201,MATCH($C$4,'Meetings (MOM)'!$A$2:$A$201,0)),"")</f>
        <v>11:00 AM</v>
      </c>
      <c r="D9" s="15" t="s">
        <v>7</v>
      </c>
      <c r="E9" s="4" t="str">
        <f>IFERROR(INDEX('Meetings (MOM)'!$H$2:$H$201,MATCH($C$4,'Meetings (MOM)'!$A$2:$A$201,0)),"")</f>
        <v>12:30 PM</v>
      </c>
    </row>
    <row r="10" spans="2:5" x14ac:dyDescent="0.25">
      <c r="B10" s="15" t="s">
        <v>8</v>
      </c>
      <c r="C10" s="4" t="str">
        <f>IFERROR(INDEX('Meetings (MOM)'!$I$2:$I$201,MATCH($C$4,'Meetings (MOM)'!$A$2:$A$201,0)),"")</f>
        <v>Mr. Director</v>
      </c>
      <c r="D10" s="15" t="s">
        <v>9</v>
      </c>
      <c r="E10" s="4" t="str">
        <f>IFERROR(INDEX('Meetings (MOM)'!$J$2:$J$201,MATCH($C$4,'Meetings (MOM)'!$A$2:$A$201,0)),"")</f>
        <v>EA to Director</v>
      </c>
    </row>
    <row r="12" spans="2:9" x14ac:dyDescent="0.25">
      <c r="B12" s="16" t="s">
        <v>71</v>
      </c>
      <c r="C12" s="16"/>
      <c r="D12" s="16"/>
      <c r="E12" s="16"/>
      <c r="F12" s="16"/>
      <c r="G12" s="16"/>
      <c r="H12" s="16"/>
      <c r="I12" s="16"/>
    </row>
    <row r="13" ht="21.75" customHeight="1" spans="2:9" x14ac:dyDescent="0.25">
      <c r="B13" s="17" t="str">
        <f>IFERROR(INDEX('Meetings (MOM)'!$K$2:$K$201,MATCH($C$4,'Meetings (MOM)'!$A$2:$A$201,0)),"")</f>
        <v>Mr. A. Shah, Ms. P. Patel, Mr. R. Mehta</v>
      </c>
      <c r="C13" s="17"/>
      <c r="D13" s="17"/>
      <c r="E13" s="17"/>
      <c r="F13" s="17"/>
      <c r="G13" s="17"/>
      <c r="H13" s="17"/>
      <c r="I13" s="17"/>
    </row>
    <row r="14" spans="2:9" x14ac:dyDescent="0.25">
      <c r="B14" s="16" t="s">
        <v>72</v>
      </c>
      <c r="C14" s="16"/>
      <c r="D14" s="16"/>
      <c r="E14" s="16"/>
      <c r="F14" s="16"/>
      <c r="G14" s="16"/>
      <c r="H14" s="16"/>
      <c r="I14" s="16"/>
    </row>
    <row r="15" ht="21.75" customHeight="1" spans="2:9" x14ac:dyDescent="0.25">
      <c r="B15" s="17" t="str">
        <f>IFERROR(INDEX('Meetings (MOM)'!$L$2:$L$201,MATCH($C$4,'Meetings (MOM)'!$A$2:$A$201,0)),"")</f>
        <v>Mr. K. Joshi (on leave)</v>
      </c>
      <c r="C15" s="17"/>
      <c r="D15" s="17"/>
      <c r="E15" s="17"/>
      <c r="F15" s="17"/>
      <c r="G15" s="17"/>
      <c r="H15" s="17"/>
      <c r="I15" s="17"/>
    </row>
    <row r="16" spans="2:9" x14ac:dyDescent="0.25">
      <c r="B16" s="16" t="s">
        <v>73</v>
      </c>
      <c r="C16" s="16"/>
      <c r="D16" s="16"/>
      <c r="E16" s="16"/>
      <c r="F16" s="16"/>
      <c r="G16" s="16"/>
      <c r="H16" s="16"/>
      <c r="I16" s="16"/>
    </row>
    <row r="17" ht="21.75" customHeight="1" spans="2:9" x14ac:dyDescent="0.25">
      <c r="B17" s="18" t="str">
        <f>IFERROR(INDEX('Meetings (MOM)'!$M$2:$M$201,MATCH($C$4,'Meetings (MOM)'!$A$2:$A$201,0)),"")</f>
        <v>1. Aug sales review  2. Pending receivables  3. New branch proposal</v>
      </c>
      <c r="C17" s="18"/>
      <c r="D17" s="18"/>
      <c r="E17" s="18"/>
      <c r="F17" s="18"/>
      <c r="G17" s="18"/>
      <c r="H17" s="18"/>
      <c r="I17" s="18"/>
    </row>
    <row r="18" ht="21.75" customHeight="1" spans="2:9" x14ac:dyDescent="0.25">
      <c r="B18" s="18"/>
      <c r="C18" s="18"/>
      <c r="D18" s="18"/>
      <c r="E18" s="18"/>
      <c r="F18" s="18"/>
      <c r="G18" s="18"/>
      <c r="H18" s="18"/>
      <c r="I18" s="18"/>
    </row>
    <row r="19" spans="2:9" x14ac:dyDescent="0.25">
      <c r="B19" s="16" t="s">
        <v>74</v>
      </c>
      <c r="C19" s="16"/>
      <c r="D19" s="16"/>
      <c r="E19" s="16"/>
      <c r="F19" s="16"/>
      <c r="G19" s="16"/>
      <c r="H19" s="16"/>
      <c r="I19" s="16"/>
    </row>
    <row r="20" ht="21.75" customHeight="1" spans="2:9" x14ac:dyDescent="0.25">
      <c r="B20" s="18" t="str">
        <f>IFERROR(INDEX('Meetings (MOM)'!$N$2:$N$201,MATCH($C$4,'Meetings (MOM)'!$A$2:$A$201,0)),"")</f>
        <v>Aug sales closed at 92% of target; shortfall mainly from Surat branch. Receivables above 90 days discussed - Accounts to share ageing report. Director approved in-principle survey for the new branch.</v>
      </c>
      <c r="C20" s="18"/>
      <c r="D20" s="18"/>
      <c r="E20" s="18"/>
      <c r="F20" s="18"/>
      <c r="G20" s="18"/>
      <c r="H20" s="18"/>
      <c r="I20" s="18"/>
    </row>
    <row r="21" ht="21.75" customHeight="1" spans="2:9" x14ac:dyDescent="0.25">
      <c r="B21" s="18"/>
      <c r="C21" s="18"/>
      <c r="D21" s="18"/>
      <c r="E21" s="18"/>
      <c r="F21" s="18"/>
      <c r="G21" s="18"/>
      <c r="H21" s="18"/>
      <c r="I21" s="18"/>
    </row>
    <row r="22" ht="21.75" customHeight="1" spans="2:9" x14ac:dyDescent="0.25">
      <c r="B22" s="18"/>
      <c r="C22" s="18"/>
      <c r="D22" s="18"/>
      <c r="E22" s="18"/>
      <c r="F22" s="18"/>
      <c r="G22" s="18"/>
      <c r="H22" s="18"/>
      <c r="I22" s="18"/>
    </row>
    <row r="23" spans="2:9" x14ac:dyDescent="0.25">
      <c r="B23" s="16" t="s">
        <v>75</v>
      </c>
      <c r="C23" s="16"/>
      <c r="D23" s="16"/>
      <c r="E23" s="16"/>
      <c r="F23" s="16"/>
      <c r="G23" s="16"/>
      <c r="H23" s="16"/>
      <c r="I23" s="16"/>
    </row>
    <row r="24" ht="21.75" customHeight="1" spans="2:9" x14ac:dyDescent="0.25">
      <c r="B24" s="18" t="str">
        <f>IFERROR(INDEX('Meetings (MOM)'!$O$2:$O$201,MATCH($C$4,'Meetings (MOM)'!$A$2:$A$201,0)),"")</f>
        <v>Surat branch to submit recovery plan; ageing report to be circulated weekly.</v>
      </c>
      <c r="C24" s="18"/>
      <c r="D24" s="18"/>
      <c r="E24" s="18"/>
      <c r="F24" s="18"/>
      <c r="G24" s="18"/>
      <c r="H24" s="18"/>
      <c r="I24" s="18"/>
    </row>
    <row r="25" ht="21.75" customHeight="1" spans="2:9" x14ac:dyDescent="0.25">
      <c r="B25" s="18"/>
      <c r="C25" s="18"/>
      <c r="D25" s="18"/>
      <c r="E25" s="18"/>
      <c r="F25" s="18"/>
      <c r="G25" s="18"/>
      <c r="H25" s="18"/>
      <c r="I25" s="18"/>
    </row>
    <row r="26" spans="2:9" x14ac:dyDescent="0.25">
      <c r="B26" s="16" t="s">
        <v>76</v>
      </c>
      <c r="C26" s="16"/>
      <c r="D26" s="16"/>
      <c r="E26" s="16"/>
      <c r="F26" s="16"/>
      <c r="G26" s="16"/>
      <c r="H26" s="16"/>
      <c r="I26" s="16"/>
    </row>
    <row r="27" ht="25.5" customHeight="1" spans="1:9" x14ac:dyDescent="0.25">
      <c r="A27" s="19"/>
      <c r="B27" s="1" t="s">
        <v>34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77</v>
      </c>
      <c r="H27" s="1" t="s">
        <v>43</v>
      </c>
      <c r="I27" s="1" t="s">
        <v>78</v>
      </c>
    </row>
    <row r="28" ht="25.5" customHeight="1" spans="2:9" x14ac:dyDescent="0.25">
      <c r="B28" s="2" t="str">
        <f>IFERROR(INDEX(Tasks!$A$2:$A$501,MATCH($C$4&amp;"-"&amp;1,Tasks!$S$2:$S$501,0)),"")</f>
        <v>T-001</v>
      </c>
      <c r="C28" s="4" t="str">
        <f>IFERROR(INDEX(Tasks!$E$2:$E$501,MATCH($C$4&amp;"-"&amp;1,Tasks!$S$2:$S$501,0)),"")</f>
        <v>Share 90+ days receivable ageing report with Director</v>
      </c>
      <c r="D28" s="2" t="str">
        <f>IFERROR(INDEX(Tasks!$F$2:$F$501,MATCH($C$4&amp;"-"&amp;1,Tasks!$S$2:$S$501,0)),"")</f>
        <v>Ms. P. Patel</v>
      </c>
      <c r="E28" s="2" t="str">
        <f>IFERROR(INDEX(Tasks!$G$2:$G$501,MATCH($C$4&amp;"-"&amp;1,Tasks!$S$2:$S$501,0)),"")</f>
        <v>EA to Director</v>
      </c>
      <c r="F28" s="2" t="str">
        <f>IFERROR(INDEX(Tasks!$H$2:$H$501,MATCH($C$4&amp;"-"&amp;1,Tasks!$S$2:$S$501,0)),"")</f>
        <v>High</v>
      </c>
      <c r="G28" s="8">
        <f>IFERROR(IF(INDEX(Tasks!$K$2:$K$501,MATCH($C$4&amp;"-"&amp;1,Tasks!$S$2:$S$501,0))="",INDEX(Tasks!$J$2:$J$501,MATCH($C$4&amp;"-"&amp;1,Tasks!$S$2:$S$501,0)),INDEX(Tasks!$K$2:$K$501,MATCH($C$4&amp;"-"&amp;1,Tasks!$S$2:$S$501,0))),"")</f>
        <v>46270</v>
      </c>
      <c r="H28" s="2" t="str">
        <f>IFERROR(INDEX(Tasks!$L$2:$L$501,MATCH($C$4&amp;"-"&amp;1,Tasks!$S$2:$S$501,0)),"")</f>
        <v>Completed</v>
      </c>
      <c r="I28" s="9">
        <f>IFERROR(INDEX(Tasks!$M$2:$M$501,MATCH($C$4&amp;"-"&amp;1,Tasks!$S$2:$S$501,0)),"")</f>
        <v>1</v>
      </c>
    </row>
    <row r="29" ht="25.5" customHeight="1" spans="2:9" x14ac:dyDescent="0.25">
      <c r="B29" s="2" t="str">
        <f>IFERROR(INDEX(Tasks!$A$2:$A$501,MATCH($C$4&amp;"-"&amp;2,Tasks!$S$2:$S$501,0)),"")</f>
        <v>T-002</v>
      </c>
      <c r="C29" s="4" t="str">
        <f>IFERROR(INDEX(Tasks!$E$2:$E$501,MATCH($C$4&amp;"-"&amp;2,Tasks!$S$2:$S$501,0)),"")</f>
        <v>Submit Surat branch sales recovery plan</v>
      </c>
      <c r="D29" s="2" t="str">
        <f>IFERROR(INDEX(Tasks!$F$2:$F$501,MATCH($C$4&amp;"-"&amp;2,Tasks!$S$2:$S$501,0)),"")</f>
        <v>Mr. R. Mehta</v>
      </c>
      <c r="E29" s="2" t="str">
        <f>IFERROR(INDEX(Tasks!$G$2:$G$501,MATCH($C$4&amp;"-"&amp;2,Tasks!$S$2:$S$501,0)),"")</f>
        <v>Mr. A. Shah</v>
      </c>
      <c r="F29" s="2" t="str">
        <f>IFERROR(INDEX(Tasks!$H$2:$H$501,MATCH($C$4&amp;"-"&amp;2,Tasks!$S$2:$S$501,0)),"")</f>
        <v>High</v>
      </c>
      <c r="G29" s="8">
        <f>IFERROR(IF(INDEX(Tasks!$K$2:$K$501,MATCH($C$4&amp;"-"&amp;2,Tasks!$S$2:$S$501,0))="",INDEX(Tasks!$J$2:$J$501,MATCH($C$4&amp;"-"&amp;2,Tasks!$S$2:$S$501,0)),INDEX(Tasks!$K$2:$K$501,MATCH($C$4&amp;"-"&amp;2,Tasks!$S$2:$S$501,0))),"")</f>
        <v>46273</v>
      </c>
      <c r="H29" s="2" t="str">
        <f>IFERROR(INDEX(Tasks!$L$2:$L$501,MATCH($C$4&amp;"-"&amp;2,Tasks!$S$2:$S$501,0)),"")</f>
        <v>In Progress</v>
      </c>
      <c r="I29" s="9">
        <f>IFERROR(INDEX(Tasks!$M$2:$M$501,MATCH($C$4&amp;"-"&amp;2,Tasks!$S$2:$S$501,0)),"")</f>
        <v>0.6</v>
      </c>
    </row>
    <row r="30" ht="25.5" customHeight="1" spans="2:9" x14ac:dyDescent="0.25">
      <c r="B30" s="2" t="str">
        <f>IFERROR(INDEX(Tasks!$A$2:$A$501,MATCH($C$4&amp;"-"&amp;3,Tasks!$S$2:$S$501,0)),"")</f>
        <v>T-003</v>
      </c>
      <c r="C30" s="4" t="str">
        <f>IFERROR(INDEX(Tasks!$E$2:$E$501,MATCH($C$4&amp;"-"&amp;3,Tasks!$S$2:$S$501,0)),"")</f>
        <v>Site survey report for proposed new branch</v>
      </c>
      <c r="D30" s="2" t="str">
        <f>IFERROR(INDEX(Tasks!$F$2:$F$501,MATCH($C$4&amp;"-"&amp;3,Tasks!$S$2:$S$501,0)),"")</f>
        <v>Mr. K. Joshi</v>
      </c>
      <c r="E30" s="2" t="str">
        <f>IFERROR(INDEX(Tasks!$G$2:$G$501,MATCH($C$4&amp;"-"&amp;3,Tasks!$S$2:$S$501,0)),"")</f>
        <v>EA to Director</v>
      </c>
      <c r="F30" s="2" t="str">
        <f>IFERROR(INDEX(Tasks!$H$2:$H$501,MATCH($C$4&amp;"-"&amp;3,Tasks!$S$2:$S$501,0)),"")</f>
        <v>Medium</v>
      </c>
      <c r="G30" s="8">
        <f>IFERROR(IF(INDEX(Tasks!$K$2:$K$501,MATCH($C$4&amp;"-"&amp;3,Tasks!$S$2:$S$501,0))="",INDEX(Tasks!$J$2:$J$501,MATCH($C$4&amp;"-"&amp;3,Tasks!$S$2:$S$501,0)),INDEX(Tasks!$K$2:$K$501,MATCH($C$4&amp;"-"&amp;3,Tasks!$S$2:$S$501,0))),"")</f>
        <v>46285</v>
      </c>
      <c r="H30" s="2" t="str">
        <f>IFERROR(INDEX(Tasks!$L$2:$L$501,MATCH($C$4&amp;"-"&amp;3,Tasks!$S$2:$S$501,0)),"")</f>
        <v>Not Started</v>
      </c>
      <c r="I30" s="9">
        <f>IFERROR(INDEX(Tasks!$M$2:$M$501,MATCH($C$4&amp;"-"&amp;3,Tasks!$S$2:$S$501,0)),"")</f>
        <v>0</v>
      </c>
    </row>
    <row r="31" ht="25.5" customHeight="1" spans="2:9" x14ac:dyDescent="0.25">
      <c r="B31" s="2">
        <f>IFERROR(INDEX(Tasks!$A$2:$A$501,MATCH($C$4&amp;"-"&amp;4,Tasks!$S$2:$S$501,0)),"")</f>
      </c>
      <c r="C31" s="4">
        <f>IFERROR(INDEX(Tasks!$E$2:$E$501,MATCH($C$4&amp;"-"&amp;4,Tasks!$S$2:$S$501,0)),"")</f>
      </c>
      <c r="D31" s="2">
        <f>IFERROR(INDEX(Tasks!$F$2:$F$501,MATCH($C$4&amp;"-"&amp;4,Tasks!$S$2:$S$501,0)),"")</f>
      </c>
      <c r="E31" s="2">
        <f>IFERROR(INDEX(Tasks!$G$2:$G$501,MATCH($C$4&amp;"-"&amp;4,Tasks!$S$2:$S$501,0)),"")</f>
      </c>
      <c r="F31" s="2">
        <f>IFERROR(INDEX(Tasks!$H$2:$H$501,MATCH($C$4&amp;"-"&amp;4,Tasks!$S$2:$S$501,0)),"")</f>
      </c>
      <c r="G31" s="8">
        <f>IFERROR(IF(INDEX(Tasks!$K$2:$K$501,MATCH($C$4&amp;"-"&amp;4,Tasks!$S$2:$S$501,0))="",INDEX(Tasks!$J$2:$J$501,MATCH($C$4&amp;"-"&amp;4,Tasks!$S$2:$S$501,0)),INDEX(Tasks!$K$2:$K$501,MATCH($C$4&amp;"-"&amp;4,Tasks!$S$2:$S$501,0))),"")</f>
      </c>
      <c r="H31" s="2">
        <f>IFERROR(INDEX(Tasks!$L$2:$L$501,MATCH($C$4&amp;"-"&amp;4,Tasks!$S$2:$S$501,0)),"")</f>
      </c>
      <c r="I31" s="9">
        <f>IFERROR(INDEX(Tasks!$M$2:$M$501,MATCH($C$4&amp;"-"&amp;4,Tasks!$S$2:$S$501,0)),"")</f>
      </c>
    </row>
    <row r="32" ht="25.5" customHeight="1" spans="2:9" x14ac:dyDescent="0.25">
      <c r="B32" s="2">
        <f>IFERROR(INDEX(Tasks!$A$2:$A$501,MATCH($C$4&amp;"-"&amp;5,Tasks!$S$2:$S$501,0)),"")</f>
      </c>
      <c r="C32" s="4">
        <f>IFERROR(INDEX(Tasks!$E$2:$E$501,MATCH($C$4&amp;"-"&amp;5,Tasks!$S$2:$S$501,0)),"")</f>
      </c>
      <c r="D32" s="2">
        <f>IFERROR(INDEX(Tasks!$F$2:$F$501,MATCH($C$4&amp;"-"&amp;5,Tasks!$S$2:$S$501,0)),"")</f>
      </c>
      <c r="E32" s="2">
        <f>IFERROR(INDEX(Tasks!$G$2:$G$501,MATCH($C$4&amp;"-"&amp;5,Tasks!$S$2:$S$501,0)),"")</f>
      </c>
      <c r="F32" s="2">
        <f>IFERROR(INDEX(Tasks!$H$2:$H$501,MATCH($C$4&amp;"-"&amp;5,Tasks!$S$2:$S$501,0)),"")</f>
      </c>
      <c r="G32" s="8">
        <f>IFERROR(IF(INDEX(Tasks!$K$2:$K$501,MATCH($C$4&amp;"-"&amp;5,Tasks!$S$2:$S$501,0))="",INDEX(Tasks!$J$2:$J$501,MATCH($C$4&amp;"-"&amp;5,Tasks!$S$2:$S$501,0)),INDEX(Tasks!$K$2:$K$501,MATCH($C$4&amp;"-"&amp;5,Tasks!$S$2:$S$501,0))),"")</f>
      </c>
      <c r="H32" s="2">
        <f>IFERROR(INDEX(Tasks!$L$2:$L$501,MATCH($C$4&amp;"-"&amp;5,Tasks!$S$2:$S$501,0)),"")</f>
      </c>
      <c r="I32" s="9">
        <f>IFERROR(INDEX(Tasks!$M$2:$M$501,MATCH($C$4&amp;"-"&amp;5,Tasks!$S$2:$S$501,0)),"")</f>
      </c>
    </row>
    <row r="33" ht="25.5" customHeight="1" spans="2:9" x14ac:dyDescent="0.25">
      <c r="B33" s="2">
        <f>IFERROR(INDEX(Tasks!$A$2:$A$501,MATCH($C$4&amp;"-"&amp;6,Tasks!$S$2:$S$501,0)),"")</f>
      </c>
      <c r="C33" s="4">
        <f>IFERROR(INDEX(Tasks!$E$2:$E$501,MATCH($C$4&amp;"-"&amp;6,Tasks!$S$2:$S$501,0)),"")</f>
      </c>
      <c r="D33" s="2">
        <f>IFERROR(INDEX(Tasks!$F$2:$F$501,MATCH($C$4&amp;"-"&amp;6,Tasks!$S$2:$S$501,0)),"")</f>
      </c>
      <c r="E33" s="2">
        <f>IFERROR(INDEX(Tasks!$G$2:$G$501,MATCH($C$4&amp;"-"&amp;6,Tasks!$S$2:$S$501,0)),"")</f>
      </c>
      <c r="F33" s="2">
        <f>IFERROR(INDEX(Tasks!$H$2:$H$501,MATCH($C$4&amp;"-"&amp;6,Tasks!$S$2:$S$501,0)),"")</f>
      </c>
      <c r="G33" s="8">
        <f>IFERROR(IF(INDEX(Tasks!$K$2:$K$501,MATCH($C$4&amp;"-"&amp;6,Tasks!$S$2:$S$501,0))="",INDEX(Tasks!$J$2:$J$501,MATCH($C$4&amp;"-"&amp;6,Tasks!$S$2:$S$501,0)),INDEX(Tasks!$K$2:$K$501,MATCH($C$4&amp;"-"&amp;6,Tasks!$S$2:$S$501,0))),"")</f>
      </c>
      <c r="H33" s="2">
        <f>IFERROR(INDEX(Tasks!$L$2:$L$501,MATCH($C$4&amp;"-"&amp;6,Tasks!$S$2:$S$501,0)),"")</f>
      </c>
      <c r="I33" s="9">
        <f>IFERROR(INDEX(Tasks!$M$2:$M$501,MATCH($C$4&amp;"-"&amp;6,Tasks!$S$2:$S$501,0)),"")</f>
      </c>
    </row>
    <row r="34" ht="25.5" customHeight="1" spans="2:9" x14ac:dyDescent="0.25">
      <c r="B34" s="2">
        <f>IFERROR(INDEX(Tasks!$A$2:$A$501,MATCH($C$4&amp;"-"&amp;7,Tasks!$S$2:$S$501,0)),"")</f>
      </c>
      <c r="C34" s="4">
        <f>IFERROR(INDEX(Tasks!$E$2:$E$501,MATCH($C$4&amp;"-"&amp;7,Tasks!$S$2:$S$501,0)),"")</f>
      </c>
      <c r="D34" s="2">
        <f>IFERROR(INDEX(Tasks!$F$2:$F$501,MATCH($C$4&amp;"-"&amp;7,Tasks!$S$2:$S$501,0)),"")</f>
      </c>
      <c r="E34" s="2">
        <f>IFERROR(INDEX(Tasks!$G$2:$G$501,MATCH($C$4&amp;"-"&amp;7,Tasks!$S$2:$S$501,0)),"")</f>
      </c>
      <c r="F34" s="2">
        <f>IFERROR(INDEX(Tasks!$H$2:$H$501,MATCH($C$4&amp;"-"&amp;7,Tasks!$S$2:$S$501,0)),"")</f>
      </c>
      <c r="G34" s="8">
        <f>IFERROR(IF(INDEX(Tasks!$K$2:$K$501,MATCH($C$4&amp;"-"&amp;7,Tasks!$S$2:$S$501,0))="",INDEX(Tasks!$J$2:$J$501,MATCH($C$4&amp;"-"&amp;7,Tasks!$S$2:$S$501,0)),INDEX(Tasks!$K$2:$K$501,MATCH($C$4&amp;"-"&amp;7,Tasks!$S$2:$S$501,0))),"")</f>
      </c>
      <c r="H34" s="2">
        <f>IFERROR(INDEX(Tasks!$L$2:$L$501,MATCH($C$4&amp;"-"&amp;7,Tasks!$S$2:$S$501,0)),"")</f>
      </c>
      <c r="I34" s="9">
        <f>IFERROR(INDEX(Tasks!$M$2:$M$501,MATCH($C$4&amp;"-"&amp;7,Tasks!$S$2:$S$501,0)),"")</f>
      </c>
    </row>
    <row r="35" ht="25.5" customHeight="1" spans="2:9" x14ac:dyDescent="0.25">
      <c r="B35" s="2">
        <f>IFERROR(INDEX(Tasks!$A$2:$A$501,MATCH($C$4&amp;"-"&amp;8,Tasks!$S$2:$S$501,0)),"")</f>
      </c>
      <c r="C35" s="4">
        <f>IFERROR(INDEX(Tasks!$E$2:$E$501,MATCH($C$4&amp;"-"&amp;8,Tasks!$S$2:$S$501,0)),"")</f>
      </c>
      <c r="D35" s="2">
        <f>IFERROR(INDEX(Tasks!$F$2:$F$501,MATCH($C$4&amp;"-"&amp;8,Tasks!$S$2:$S$501,0)),"")</f>
      </c>
      <c r="E35" s="2">
        <f>IFERROR(INDEX(Tasks!$G$2:$G$501,MATCH($C$4&amp;"-"&amp;8,Tasks!$S$2:$S$501,0)),"")</f>
      </c>
      <c r="F35" s="2">
        <f>IFERROR(INDEX(Tasks!$H$2:$H$501,MATCH($C$4&amp;"-"&amp;8,Tasks!$S$2:$S$501,0)),"")</f>
      </c>
      <c r="G35" s="8">
        <f>IFERROR(IF(INDEX(Tasks!$K$2:$K$501,MATCH($C$4&amp;"-"&amp;8,Tasks!$S$2:$S$501,0))="",INDEX(Tasks!$J$2:$J$501,MATCH($C$4&amp;"-"&amp;8,Tasks!$S$2:$S$501,0)),INDEX(Tasks!$K$2:$K$501,MATCH($C$4&amp;"-"&amp;8,Tasks!$S$2:$S$501,0))),"")</f>
      </c>
      <c r="H35" s="2">
        <f>IFERROR(INDEX(Tasks!$L$2:$L$501,MATCH($C$4&amp;"-"&amp;8,Tasks!$S$2:$S$501,0)),"")</f>
      </c>
      <c r="I35" s="9">
        <f>IFERROR(INDEX(Tasks!$M$2:$M$501,MATCH($C$4&amp;"-"&amp;8,Tasks!$S$2:$S$501,0)),"")</f>
      </c>
    </row>
    <row r="36" ht="25.5" customHeight="1" spans="2:9" x14ac:dyDescent="0.25">
      <c r="B36" s="2">
        <f>IFERROR(INDEX(Tasks!$A$2:$A$501,MATCH($C$4&amp;"-"&amp;9,Tasks!$S$2:$S$501,0)),"")</f>
      </c>
      <c r="C36" s="4">
        <f>IFERROR(INDEX(Tasks!$E$2:$E$501,MATCH($C$4&amp;"-"&amp;9,Tasks!$S$2:$S$501,0)),"")</f>
      </c>
      <c r="D36" s="2">
        <f>IFERROR(INDEX(Tasks!$F$2:$F$501,MATCH($C$4&amp;"-"&amp;9,Tasks!$S$2:$S$501,0)),"")</f>
      </c>
      <c r="E36" s="2">
        <f>IFERROR(INDEX(Tasks!$G$2:$G$501,MATCH($C$4&amp;"-"&amp;9,Tasks!$S$2:$S$501,0)),"")</f>
      </c>
      <c r="F36" s="2">
        <f>IFERROR(INDEX(Tasks!$H$2:$H$501,MATCH($C$4&amp;"-"&amp;9,Tasks!$S$2:$S$501,0)),"")</f>
      </c>
      <c r="G36" s="8">
        <f>IFERROR(IF(INDEX(Tasks!$K$2:$K$501,MATCH($C$4&amp;"-"&amp;9,Tasks!$S$2:$S$501,0))="",INDEX(Tasks!$J$2:$J$501,MATCH($C$4&amp;"-"&amp;9,Tasks!$S$2:$S$501,0)),INDEX(Tasks!$K$2:$K$501,MATCH($C$4&amp;"-"&amp;9,Tasks!$S$2:$S$501,0))),"")</f>
      </c>
      <c r="H36" s="2">
        <f>IFERROR(INDEX(Tasks!$L$2:$L$501,MATCH($C$4&amp;"-"&amp;9,Tasks!$S$2:$S$501,0)),"")</f>
      </c>
      <c r="I36" s="9">
        <f>IFERROR(INDEX(Tasks!$M$2:$M$501,MATCH($C$4&amp;"-"&amp;9,Tasks!$S$2:$S$501,0)),"")</f>
      </c>
    </row>
    <row r="37" ht="25.5" customHeight="1" spans="2:9" x14ac:dyDescent="0.25">
      <c r="B37" s="2">
        <f>IFERROR(INDEX(Tasks!$A$2:$A$501,MATCH($C$4&amp;"-"&amp;10,Tasks!$S$2:$S$501,0)),"")</f>
      </c>
      <c r="C37" s="4">
        <f>IFERROR(INDEX(Tasks!$E$2:$E$501,MATCH($C$4&amp;"-"&amp;10,Tasks!$S$2:$S$501,0)),"")</f>
      </c>
      <c r="D37" s="2">
        <f>IFERROR(INDEX(Tasks!$F$2:$F$501,MATCH($C$4&amp;"-"&amp;10,Tasks!$S$2:$S$501,0)),"")</f>
      </c>
      <c r="E37" s="2">
        <f>IFERROR(INDEX(Tasks!$G$2:$G$501,MATCH($C$4&amp;"-"&amp;10,Tasks!$S$2:$S$501,0)),"")</f>
      </c>
      <c r="F37" s="2">
        <f>IFERROR(INDEX(Tasks!$H$2:$H$501,MATCH($C$4&amp;"-"&amp;10,Tasks!$S$2:$S$501,0)),"")</f>
      </c>
      <c r="G37" s="8">
        <f>IFERROR(IF(INDEX(Tasks!$K$2:$K$501,MATCH($C$4&amp;"-"&amp;10,Tasks!$S$2:$S$501,0))="",INDEX(Tasks!$J$2:$J$501,MATCH($C$4&amp;"-"&amp;10,Tasks!$S$2:$S$501,0)),INDEX(Tasks!$K$2:$K$501,MATCH($C$4&amp;"-"&amp;10,Tasks!$S$2:$S$501,0))),"")</f>
      </c>
      <c r="H37" s="2">
        <f>IFERROR(INDEX(Tasks!$L$2:$L$501,MATCH($C$4&amp;"-"&amp;10,Tasks!$S$2:$S$501,0)),"")</f>
      </c>
      <c r="I37" s="9">
        <f>IFERROR(INDEX(Tasks!$M$2:$M$501,MATCH($C$4&amp;"-"&amp;10,Tasks!$S$2:$S$501,0)),"")</f>
      </c>
    </row>
    <row r="38" ht="25.5" customHeight="1" spans="2:9" x14ac:dyDescent="0.25">
      <c r="B38" s="2">
        <f>IFERROR(INDEX(Tasks!$A$2:$A$501,MATCH($C$4&amp;"-"&amp;11,Tasks!$S$2:$S$501,0)),"")</f>
      </c>
      <c r="C38" s="4">
        <f>IFERROR(INDEX(Tasks!$E$2:$E$501,MATCH($C$4&amp;"-"&amp;11,Tasks!$S$2:$S$501,0)),"")</f>
      </c>
      <c r="D38" s="2">
        <f>IFERROR(INDEX(Tasks!$F$2:$F$501,MATCH($C$4&amp;"-"&amp;11,Tasks!$S$2:$S$501,0)),"")</f>
      </c>
      <c r="E38" s="2">
        <f>IFERROR(INDEX(Tasks!$G$2:$G$501,MATCH($C$4&amp;"-"&amp;11,Tasks!$S$2:$S$501,0)),"")</f>
      </c>
      <c r="F38" s="2">
        <f>IFERROR(INDEX(Tasks!$H$2:$H$501,MATCH($C$4&amp;"-"&amp;11,Tasks!$S$2:$S$501,0)),"")</f>
      </c>
      <c r="G38" s="8">
        <f>IFERROR(IF(INDEX(Tasks!$K$2:$K$501,MATCH($C$4&amp;"-"&amp;11,Tasks!$S$2:$S$501,0))="",INDEX(Tasks!$J$2:$J$501,MATCH($C$4&amp;"-"&amp;11,Tasks!$S$2:$S$501,0)),INDEX(Tasks!$K$2:$K$501,MATCH($C$4&amp;"-"&amp;11,Tasks!$S$2:$S$501,0))),"")</f>
      </c>
      <c r="H38" s="2">
        <f>IFERROR(INDEX(Tasks!$L$2:$L$501,MATCH($C$4&amp;"-"&amp;11,Tasks!$S$2:$S$501,0)),"")</f>
      </c>
      <c r="I38" s="9">
        <f>IFERROR(INDEX(Tasks!$M$2:$M$501,MATCH($C$4&amp;"-"&amp;11,Tasks!$S$2:$S$501,0)),"")</f>
      </c>
    </row>
    <row r="39" ht="25.5" customHeight="1" spans="2:9" x14ac:dyDescent="0.25">
      <c r="B39" s="2">
        <f>IFERROR(INDEX(Tasks!$A$2:$A$501,MATCH($C$4&amp;"-"&amp;12,Tasks!$S$2:$S$501,0)),"")</f>
      </c>
      <c r="C39" s="4">
        <f>IFERROR(INDEX(Tasks!$E$2:$E$501,MATCH($C$4&amp;"-"&amp;12,Tasks!$S$2:$S$501,0)),"")</f>
      </c>
      <c r="D39" s="2">
        <f>IFERROR(INDEX(Tasks!$F$2:$F$501,MATCH($C$4&amp;"-"&amp;12,Tasks!$S$2:$S$501,0)),"")</f>
      </c>
      <c r="E39" s="2">
        <f>IFERROR(INDEX(Tasks!$G$2:$G$501,MATCH($C$4&amp;"-"&amp;12,Tasks!$S$2:$S$501,0)),"")</f>
      </c>
      <c r="F39" s="2">
        <f>IFERROR(INDEX(Tasks!$H$2:$H$501,MATCH($C$4&amp;"-"&amp;12,Tasks!$S$2:$S$501,0)),"")</f>
      </c>
      <c r="G39" s="8">
        <f>IFERROR(IF(INDEX(Tasks!$K$2:$K$501,MATCH($C$4&amp;"-"&amp;12,Tasks!$S$2:$S$501,0))="",INDEX(Tasks!$J$2:$J$501,MATCH($C$4&amp;"-"&amp;12,Tasks!$S$2:$S$501,0)),INDEX(Tasks!$K$2:$K$501,MATCH($C$4&amp;"-"&amp;12,Tasks!$S$2:$S$501,0))),"")</f>
      </c>
      <c r="H39" s="2">
        <f>IFERROR(INDEX(Tasks!$L$2:$L$501,MATCH($C$4&amp;"-"&amp;12,Tasks!$S$2:$S$501,0)),"")</f>
      </c>
      <c r="I39" s="9">
        <f>IFERROR(INDEX(Tasks!$M$2:$M$501,MATCH($C$4&amp;"-"&amp;12,Tasks!$S$2:$S$501,0)),"")</f>
      </c>
    </row>
    <row r="40" ht="25.5" customHeight="1" spans="2:9" x14ac:dyDescent="0.25">
      <c r="B40" s="2">
        <f>IFERROR(INDEX(Tasks!$A$2:$A$501,MATCH($C$4&amp;"-"&amp;13,Tasks!$S$2:$S$501,0)),"")</f>
      </c>
      <c r="C40" s="4">
        <f>IFERROR(INDEX(Tasks!$E$2:$E$501,MATCH($C$4&amp;"-"&amp;13,Tasks!$S$2:$S$501,0)),"")</f>
      </c>
      <c r="D40" s="2">
        <f>IFERROR(INDEX(Tasks!$F$2:$F$501,MATCH($C$4&amp;"-"&amp;13,Tasks!$S$2:$S$501,0)),"")</f>
      </c>
      <c r="E40" s="2">
        <f>IFERROR(INDEX(Tasks!$G$2:$G$501,MATCH($C$4&amp;"-"&amp;13,Tasks!$S$2:$S$501,0)),"")</f>
      </c>
      <c r="F40" s="2">
        <f>IFERROR(INDEX(Tasks!$H$2:$H$501,MATCH($C$4&amp;"-"&amp;13,Tasks!$S$2:$S$501,0)),"")</f>
      </c>
      <c r="G40" s="8">
        <f>IFERROR(IF(INDEX(Tasks!$K$2:$K$501,MATCH($C$4&amp;"-"&amp;13,Tasks!$S$2:$S$501,0))="",INDEX(Tasks!$J$2:$J$501,MATCH($C$4&amp;"-"&amp;13,Tasks!$S$2:$S$501,0)),INDEX(Tasks!$K$2:$K$501,MATCH($C$4&amp;"-"&amp;13,Tasks!$S$2:$S$501,0))),"")</f>
      </c>
      <c r="H40" s="2">
        <f>IFERROR(INDEX(Tasks!$L$2:$L$501,MATCH($C$4&amp;"-"&amp;13,Tasks!$S$2:$S$501,0)),"")</f>
      </c>
      <c r="I40" s="9">
        <f>IFERROR(INDEX(Tasks!$M$2:$M$501,MATCH($C$4&amp;"-"&amp;13,Tasks!$S$2:$S$501,0)),"")</f>
      </c>
    </row>
    <row r="41" ht="25.5" customHeight="1" spans="2:9" x14ac:dyDescent="0.25">
      <c r="B41" s="2">
        <f>IFERROR(INDEX(Tasks!$A$2:$A$501,MATCH($C$4&amp;"-"&amp;14,Tasks!$S$2:$S$501,0)),"")</f>
      </c>
      <c r="C41" s="4">
        <f>IFERROR(INDEX(Tasks!$E$2:$E$501,MATCH($C$4&amp;"-"&amp;14,Tasks!$S$2:$S$501,0)),"")</f>
      </c>
      <c r="D41" s="2">
        <f>IFERROR(INDEX(Tasks!$F$2:$F$501,MATCH($C$4&amp;"-"&amp;14,Tasks!$S$2:$S$501,0)),"")</f>
      </c>
      <c r="E41" s="2">
        <f>IFERROR(INDEX(Tasks!$G$2:$G$501,MATCH($C$4&amp;"-"&amp;14,Tasks!$S$2:$S$501,0)),"")</f>
      </c>
      <c r="F41" s="2">
        <f>IFERROR(INDEX(Tasks!$H$2:$H$501,MATCH($C$4&amp;"-"&amp;14,Tasks!$S$2:$S$501,0)),"")</f>
      </c>
      <c r="G41" s="8">
        <f>IFERROR(IF(INDEX(Tasks!$K$2:$K$501,MATCH($C$4&amp;"-"&amp;14,Tasks!$S$2:$S$501,0))="",INDEX(Tasks!$J$2:$J$501,MATCH($C$4&amp;"-"&amp;14,Tasks!$S$2:$S$501,0)),INDEX(Tasks!$K$2:$K$501,MATCH($C$4&amp;"-"&amp;14,Tasks!$S$2:$S$501,0))),"")</f>
      </c>
      <c r="H41" s="2">
        <f>IFERROR(INDEX(Tasks!$L$2:$L$501,MATCH($C$4&amp;"-"&amp;14,Tasks!$S$2:$S$501,0)),"")</f>
      </c>
      <c r="I41" s="9">
        <f>IFERROR(INDEX(Tasks!$M$2:$M$501,MATCH($C$4&amp;"-"&amp;14,Tasks!$S$2:$S$501,0)),"")</f>
      </c>
    </row>
    <row r="42" ht="25.5" customHeight="1" spans="2:9" x14ac:dyDescent="0.25">
      <c r="B42" s="2">
        <f>IFERROR(INDEX(Tasks!$A$2:$A$501,MATCH($C$4&amp;"-"&amp;15,Tasks!$S$2:$S$501,0)),"")</f>
      </c>
      <c r="C42" s="4">
        <f>IFERROR(INDEX(Tasks!$E$2:$E$501,MATCH($C$4&amp;"-"&amp;15,Tasks!$S$2:$S$501,0)),"")</f>
      </c>
      <c r="D42" s="2">
        <f>IFERROR(INDEX(Tasks!$F$2:$F$501,MATCH($C$4&amp;"-"&amp;15,Tasks!$S$2:$S$501,0)),"")</f>
      </c>
      <c r="E42" s="2">
        <f>IFERROR(INDEX(Tasks!$G$2:$G$501,MATCH($C$4&amp;"-"&amp;15,Tasks!$S$2:$S$501,0)),"")</f>
      </c>
      <c r="F42" s="2">
        <f>IFERROR(INDEX(Tasks!$H$2:$H$501,MATCH($C$4&amp;"-"&amp;15,Tasks!$S$2:$S$501,0)),"")</f>
      </c>
      <c r="G42" s="8">
        <f>IFERROR(IF(INDEX(Tasks!$K$2:$K$501,MATCH($C$4&amp;"-"&amp;15,Tasks!$S$2:$S$501,0))="",INDEX(Tasks!$J$2:$J$501,MATCH($C$4&amp;"-"&amp;15,Tasks!$S$2:$S$501,0)),INDEX(Tasks!$K$2:$K$501,MATCH($C$4&amp;"-"&amp;15,Tasks!$S$2:$S$501,0))),"")</f>
      </c>
      <c r="H42" s="2">
        <f>IFERROR(INDEX(Tasks!$L$2:$L$501,MATCH($C$4&amp;"-"&amp;15,Tasks!$S$2:$S$501,0)),"")</f>
      </c>
      <c r="I42" s="9">
        <f>IFERROR(INDEX(Tasks!$M$2:$M$501,MATCH($C$4&amp;"-"&amp;15,Tasks!$S$2:$S$501,0)),"")</f>
      </c>
    </row>
    <row r="44" spans="2:6" x14ac:dyDescent="0.25">
      <c r="B44" s="12" t="s">
        <v>79</v>
      </c>
      <c r="C44" s="20" t="str">
        <f>IFERROR(INDEX('Meetings (MOM)'!$J$2:$J$201,MATCH($C$4,'Meetings (MOM)'!$A$2:$A$201,0)),"")</f>
        <v>EA to Director</v>
      </c>
      <c r="E44" s="12" t="s">
        <v>80</v>
      </c>
      <c r="F44" s="20" t="str">
        <f>IFERROR(INDEX('Meetings (MOM)'!$I$2:$I$201,MATCH($C$4,'Meetings (MOM)'!$A$2:$A$201,0)),"")</f>
        <v>Mr. Director</v>
      </c>
    </row>
    <row r="46" spans="2:2" x14ac:dyDescent="0.25">
      <c r="B46" s="14" t="s">
        <v>81</v>
      </c>
    </row>
  </sheetData>
  <mergeCells count="12">
    <mergeCell ref="B2:I2"/>
    <mergeCell ref="B12:I12"/>
    <mergeCell ref="B13:I13"/>
    <mergeCell ref="B14:I14"/>
    <mergeCell ref="B15:I15"/>
    <mergeCell ref="B16:I16"/>
    <mergeCell ref="B17:I18"/>
    <mergeCell ref="B19:I19"/>
    <mergeCell ref="B20:I22"/>
    <mergeCell ref="B23:I23"/>
    <mergeCell ref="B24:I25"/>
    <mergeCell ref="B26:I26"/>
  </mergeCells>
  <pageMargins left="0.75" right="0.75" top="1" bottom="1" header="0.511811023622047" footer="0.511811023622047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Meetings (MOM)</vt:lpstr>
      <vt:lpstr>Tasks</vt:lpstr>
      <vt:lpstr>MOM 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Admin</cp:lastModifiedBy>
  <dcterms:created xsi:type="dcterms:W3CDTF">2026-09-06T09:32:51Z</dcterms:created>
  <dcterms:modified xsi:type="dcterms:W3CDTF">2026-09-08T12:17:03Z</dcterms:modified>
</cp:coreProperties>
</file>